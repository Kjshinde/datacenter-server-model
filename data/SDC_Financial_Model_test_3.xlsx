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jshi\Desktop\ASU_semesters\ASU_sem_3\eee_591_systmes_engineering\python_model\data\"/>
    </mc:Choice>
  </mc:AlternateContent>
  <xr:revisionPtr revIDLastSave="0" documentId="13_ncr:1_{E3A0BB83-CF75-417D-8C79-B43A3062879F}" xr6:coauthVersionLast="47" xr6:coauthVersionMax="47" xr10:uidLastSave="{00000000-0000-0000-0000-000000000000}"/>
  <bookViews>
    <workbookView xWindow="-90" yWindow="-90" windowWidth="19380" windowHeight="10980" activeTab="1" xr2:uid="{0997CDDD-5DD0-4E17-AB88-0FB3D7090A42}"/>
  </bookViews>
  <sheets>
    <sheet name="Financials" sheetId="10" r:id="rId1"/>
    <sheet name="CPU" sheetId="1" r:id="rId2"/>
    <sheet name="GPU" sheetId="2" r:id="rId3"/>
    <sheet name="Lo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0" l="1"/>
  <c r="F20" i="10"/>
  <c r="G7" i="10"/>
  <c r="G6" i="10"/>
  <c r="G5" i="10"/>
  <c r="F7" i="10"/>
  <c r="F6" i="10"/>
  <c r="F5" i="10"/>
  <c r="E47" i="1"/>
  <c r="E49" i="1" s="1"/>
  <c r="E51" i="1" s="1"/>
  <c r="D47" i="1"/>
  <c r="D49" i="1" s="1"/>
  <c r="D51" i="1" s="1"/>
  <c r="C47" i="1"/>
  <c r="C49" i="1" s="1"/>
  <c r="C51" i="1" s="1"/>
  <c r="B47" i="1"/>
  <c r="B49" i="1" s="1"/>
  <c r="B51" i="1" s="1"/>
  <c r="E46" i="1"/>
  <c r="E48" i="1" s="1"/>
  <c r="E50" i="1" s="1"/>
  <c r="D46" i="1"/>
  <c r="D48" i="1" s="1"/>
  <c r="D50" i="1" s="1"/>
  <c r="C46" i="1"/>
  <c r="C48" i="1" s="1"/>
  <c r="C50" i="1" s="1"/>
  <c r="E45" i="1"/>
  <c r="D45" i="1"/>
  <c r="C45" i="1"/>
  <c r="B45" i="1"/>
  <c r="E44" i="1"/>
  <c r="D44" i="1"/>
  <c r="C44" i="1"/>
  <c r="B46" i="1"/>
  <c r="B48" i="1" s="1"/>
  <c r="B50" i="1" s="1"/>
  <c r="D44" i="2"/>
  <c r="D46" i="2" s="1"/>
  <c r="D48" i="2" s="1"/>
  <c r="D50" i="2" s="1"/>
  <c r="C44" i="2"/>
  <c r="C46" i="2" s="1"/>
  <c r="C48" i="2" s="1"/>
  <c r="C50" i="2" s="1"/>
  <c r="B44" i="2"/>
  <c r="B46" i="2" s="1"/>
  <c r="B48" i="2" s="1"/>
  <c r="B50" i="2" s="1"/>
  <c r="D45" i="2"/>
  <c r="D47" i="2" s="1"/>
  <c r="D49" i="2" s="1"/>
  <c r="C45" i="2"/>
  <c r="C47" i="2" s="1"/>
  <c r="C49" i="2" s="1"/>
  <c r="B45" i="2"/>
  <c r="B47" i="2" s="1"/>
  <c r="B49" i="2" s="1"/>
  <c r="D42" i="2"/>
  <c r="C42" i="2"/>
  <c r="B42" i="2"/>
  <c r="F15" i="10" l="1"/>
  <c r="B16" i="10"/>
  <c r="B33" i="10"/>
  <c r="B25" i="10" s="1"/>
  <c r="C39" i="10"/>
  <c r="D39" i="10" s="1"/>
  <c r="D36" i="10"/>
  <c r="D38" i="10"/>
  <c r="D37" i="10"/>
  <c r="D10" i="2"/>
  <c r="B10" i="2"/>
  <c r="C40" i="2"/>
  <c r="C39" i="2"/>
  <c r="C38" i="2"/>
  <c r="C35" i="2"/>
  <c r="C33" i="2"/>
  <c r="C22" i="2"/>
  <c r="C24" i="2" s="1"/>
  <c r="C21" i="2"/>
  <c r="B40" i="2"/>
  <c r="B39" i="2"/>
  <c r="B38" i="2"/>
  <c r="B35" i="2"/>
  <c r="B33" i="2"/>
  <c r="B22" i="2"/>
  <c r="B24" i="2" s="1"/>
  <c r="B21" i="2"/>
  <c r="F11" i="10"/>
  <c r="F27" i="10"/>
  <c r="D33" i="2"/>
  <c r="D40" i="2"/>
  <c r="D39" i="2"/>
  <c r="D38" i="2"/>
  <c r="D35" i="2"/>
  <c r="D22" i="2"/>
  <c r="D24" i="2" s="1"/>
  <c r="D21" i="2"/>
  <c r="E41" i="1"/>
  <c r="E40" i="1"/>
  <c r="E39" i="1"/>
  <c r="E37" i="1"/>
  <c r="E36" i="1"/>
  <c r="E35" i="1"/>
  <c r="D41" i="1"/>
  <c r="D40" i="1"/>
  <c r="D39" i="1"/>
  <c r="D37" i="1"/>
  <c r="D36" i="1"/>
  <c r="D35" i="1"/>
  <c r="C41" i="1"/>
  <c r="C40" i="1"/>
  <c r="C39" i="1"/>
  <c r="C36" i="1"/>
  <c r="B41" i="1"/>
  <c r="B40" i="1"/>
  <c r="B39" i="1"/>
  <c r="B36" i="1"/>
  <c r="E23" i="1"/>
  <c r="E25" i="1" s="1"/>
  <c r="E22" i="1"/>
  <c r="E26" i="1" s="1"/>
  <c r="E28" i="1" s="1"/>
  <c r="E29" i="1" s="1"/>
  <c r="D23" i="1"/>
  <c r="D25" i="1" s="1"/>
  <c r="D22" i="1"/>
  <c r="D26" i="1" s="1"/>
  <c r="D28" i="1" s="1"/>
  <c r="D29" i="1" s="1"/>
  <c r="C23" i="1"/>
  <c r="C25" i="1" s="1"/>
  <c r="C22" i="1"/>
  <c r="C26" i="1" s="1"/>
  <c r="C28" i="1" s="1"/>
  <c r="C29" i="1" s="1"/>
  <c r="B28" i="1"/>
  <c r="B29" i="1" s="1"/>
  <c r="B23" i="1"/>
  <c r="B25" i="1" s="1"/>
  <c r="B22" i="1"/>
  <c r="B37" i="1" s="1"/>
  <c r="C37" i="1" l="1"/>
  <c r="B30" i="1"/>
  <c r="B32" i="1" s="1"/>
  <c r="B38" i="1" s="1"/>
  <c r="D40" i="10"/>
  <c r="B28" i="10" s="1"/>
  <c r="F24" i="10" s="1"/>
  <c r="F12" i="10"/>
  <c r="F13" i="10" s="1"/>
  <c r="B36" i="2"/>
  <c r="B27" i="2"/>
  <c r="B28" i="2" s="1"/>
  <c r="B29" i="2" s="1"/>
  <c r="B31" i="2" s="1"/>
  <c r="B37" i="2" s="1"/>
  <c r="B6" i="10"/>
  <c r="H6" i="10" s="1"/>
  <c r="I6" i="10" s="1"/>
  <c r="B7" i="10"/>
  <c r="H7" i="10" s="1"/>
  <c r="I7" i="10" s="1"/>
  <c r="B5" i="10"/>
  <c r="H5" i="10" s="1"/>
  <c r="J5" i="10" s="1"/>
  <c r="D27" i="2"/>
  <c r="D28" i="2" s="1"/>
  <c r="D29" i="2" s="1"/>
  <c r="D31" i="2" s="1"/>
  <c r="D37" i="2" s="1"/>
  <c r="D36" i="2"/>
  <c r="E30" i="1"/>
  <c r="E32" i="1" s="1"/>
  <c r="E38" i="1" s="1"/>
  <c r="D30" i="1"/>
  <c r="D32" i="1" s="1"/>
  <c r="D38" i="1" s="1"/>
  <c r="C30" i="1"/>
  <c r="C32" i="1" s="1"/>
  <c r="C38" i="1" s="1"/>
  <c r="J6" i="10" l="1"/>
  <c r="J7" i="10"/>
  <c r="F14" i="10"/>
  <c r="F18" i="10" s="1"/>
  <c r="K6" i="10"/>
  <c r="I5" i="10"/>
  <c r="K5" i="10" s="1"/>
  <c r="H8" i="10"/>
  <c r="B8" i="10"/>
  <c r="C36" i="2"/>
  <c r="C27" i="2"/>
  <c r="C28" i="2" s="1"/>
  <c r="C29" i="2" s="1"/>
  <c r="C31" i="2" s="1"/>
  <c r="C37" i="2" s="1"/>
  <c r="K7" i="10"/>
  <c r="J8" i="10" l="1"/>
  <c r="F23" i="10" s="1"/>
  <c r="I8" i="10"/>
  <c r="K8" i="10"/>
  <c r="F25" i="10"/>
  <c r="F26" i="10" l="1"/>
  <c r="F28" i="10" s="1"/>
  <c r="F29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B3BC31-43BA-4095-8787-647DA145D711}" keepAlive="1" name="Query - CPU" description="Connection to the 'CPU' query in the workbook." type="5" refreshedVersion="0" background="1" saveData="1">
    <dbPr connection="Provider=Microsoft.Mashup.OleDb.1;Data Source=$Workbook$;Location=CPU;Extended Properties=&quot;&quot;" command="SELECT * FROM [CPU]"/>
  </connection>
</connections>
</file>

<file path=xl/sharedStrings.xml><?xml version="1.0" encoding="utf-8"?>
<sst xmlns="http://schemas.openxmlformats.org/spreadsheetml/2006/main" count="337" uniqueCount="216">
  <si>
    <t>Processor</t>
  </si>
  <si>
    <t>MatLab Configuration</t>
  </si>
  <si>
    <t>MaxCores</t>
  </si>
  <si>
    <t>Number of cores that can be used to process a compule load</t>
  </si>
  <si>
    <t>MaxFrequency</t>
  </si>
  <si>
    <t>Maximum clock rate of the cores in the processor in MHz</t>
  </si>
  <si>
    <t>ActiveSwitchCapacitance</t>
  </si>
  <si>
    <t>The Active Switching Capacitance of a processor at the specified loading point (LoadPoint) that is used to determne the active power consuption in uF</t>
  </si>
  <si>
    <t>EDP</t>
  </si>
  <si>
    <t>The electrical power drawn of the processor at the specified loading point (LoadPoint) in Watts</t>
  </si>
  <si>
    <t>TDP</t>
  </si>
  <si>
    <t>The thermal power emitted of the processor at the specified loading point (LoadPoint) in Watts</t>
  </si>
  <si>
    <t>LoadPoint</t>
  </si>
  <si>
    <t>The processor loading point based on a suite of applications that are used to define how much of the processor is typically switching as a %.</t>
  </si>
  <si>
    <t>Tjmax</t>
  </si>
  <si>
    <t>70C</t>
  </si>
  <si>
    <t xml:space="preserve">The maximum junction temperature (C) that the processor can reach and stay within it specified reliabily and functional parameters. </t>
  </si>
  <si>
    <t>Notes / Description</t>
  </si>
  <si>
    <t>Market Focus</t>
  </si>
  <si>
    <t>Server</t>
  </si>
  <si>
    <t>Family</t>
  </si>
  <si>
    <t>Xeon 6</t>
  </si>
  <si>
    <t>6543P-B</t>
  </si>
  <si>
    <t>6716P-B</t>
  </si>
  <si>
    <t>6774P</t>
  </si>
  <si>
    <t>6978P</t>
  </si>
  <si>
    <t>Cores</t>
  </si>
  <si>
    <t>Threads</t>
  </si>
  <si>
    <t>Max Frequency</t>
  </si>
  <si>
    <t>Turbo Frequency</t>
  </si>
  <si>
    <t>Process</t>
  </si>
  <si>
    <t>Intel 3</t>
  </si>
  <si>
    <t>Tcase</t>
  </si>
  <si>
    <t>Target Market</t>
  </si>
  <si>
    <t>Estimates</t>
  </si>
  <si>
    <t>Customer low volume price</t>
  </si>
  <si>
    <t>Physical cores</t>
  </si>
  <si>
    <t>2 Threads/core</t>
  </si>
  <si>
    <t>Max clock with all running</t>
  </si>
  <si>
    <t>Boost clock in special conditions</t>
  </si>
  <si>
    <t>Thermal power</t>
  </si>
  <si>
    <t>Fab or Process family (each processor can be tuned within family)</t>
  </si>
  <si>
    <t>Family Name / Architecture (each processor can be tuned within family)</t>
  </si>
  <si>
    <t>Max Temp of case / integrated heat spreader;</t>
  </si>
  <si>
    <t>Based on Ultra Core i9 spec; Intel statement is this is between 100-110C</t>
  </si>
  <si>
    <t>Active Power split @ Load</t>
  </si>
  <si>
    <t>Active Power @ Load</t>
  </si>
  <si>
    <t>Leakage Power @ Load</t>
  </si>
  <si>
    <t>Leakage Scaling @ Tj_max</t>
  </si>
  <si>
    <t>Leakage Power @ Tj_max</t>
  </si>
  <si>
    <t>Active Power = C*V^2*F (first order)</t>
  </si>
  <si>
    <t>Vcore @ Load</t>
  </si>
  <si>
    <t>High_Load for TDP</t>
  </si>
  <si>
    <t>Tjunction for TDP</t>
  </si>
  <si>
    <t>Peak_Load</t>
  </si>
  <si>
    <t>Switching Cap @ High_Load</t>
  </si>
  <si>
    <t>Load is normally 70-80th percential based on measured &amp; at Max Frequency</t>
  </si>
  <si>
    <t>Switching Cap @ Peak_Load</t>
  </si>
  <si>
    <t>Active Power @ Peak_Load</t>
  </si>
  <si>
    <t>Power @ Peak_Load &amp; Tj_max</t>
  </si>
  <si>
    <t>Vcc_core Max is 1.72V … normally just used at Turbo</t>
  </si>
  <si>
    <t>TDP to EDP Scaling Factor</t>
  </si>
  <si>
    <t>High_Load for EDP</t>
  </si>
  <si>
    <t>Max Tjunction = Tj_max</t>
  </si>
  <si>
    <t>Translation Calculations</t>
  </si>
  <si>
    <t>CPU Table</t>
  </si>
  <si>
    <t>Yellow cells are judged estimates if data is not easily available</t>
  </si>
  <si>
    <t>This is between 50-70C</t>
  </si>
  <si>
    <t>Modern process at 70C typically are around 50/50</t>
  </si>
  <si>
    <t>Modern process have a big Temperature component</t>
  </si>
  <si>
    <t>Scales up from High_Load by more load being switched</t>
  </si>
  <si>
    <t>Scale from Pead_Load @ Tj_max … different industry "rules of thumb"; Depends on processor and use cases</t>
  </si>
  <si>
    <t>Blackwell</t>
  </si>
  <si>
    <t>TOPS FP16</t>
  </si>
  <si>
    <t>Vcc_core Max is 1.2V … normally just used for Overclocking</t>
  </si>
  <si>
    <t>Thermal data implies between 95C-110C</t>
  </si>
  <si>
    <t>TSMC 5nm (4NP)</t>
  </si>
  <si>
    <t>GPU Table</t>
  </si>
  <si>
    <t>NVIDIA</t>
  </si>
  <si>
    <t>INTEL</t>
  </si>
  <si>
    <t>TOPs as a comparison</t>
  </si>
  <si>
    <t>Model Configuration</t>
  </si>
  <si>
    <t>Compute A</t>
  </si>
  <si>
    <t>Compute B</t>
  </si>
  <si>
    <t>Compute C</t>
  </si>
  <si>
    <t>Signal</t>
  </si>
  <si>
    <t>CPU</t>
  </si>
  <si>
    <t>GPU</t>
  </si>
  <si>
    <t>Init_Parallel</t>
  </si>
  <si>
    <t>Init_Load</t>
  </si>
  <si>
    <t>Init_Instr</t>
  </si>
  <si>
    <t>Main_Parallel</t>
  </si>
  <si>
    <t>Main_Load</t>
  </si>
  <si>
    <t>Main_Instr</t>
  </si>
  <si>
    <t>Result_Parallel</t>
  </si>
  <si>
    <t>Result_Load</t>
  </si>
  <si>
    <t>Result_Instr</t>
  </si>
  <si>
    <t>TOPs</t>
  </si>
  <si>
    <t>Compute AG</t>
  </si>
  <si>
    <t>Compute BG</t>
  </si>
  <si>
    <t>Compute CG</t>
  </si>
  <si>
    <t>Total</t>
  </si>
  <si>
    <t xml:space="preserve">Customer </t>
  </si>
  <si>
    <t>AI Model Type</t>
  </si>
  <si>
    <t>Model Compute Instructions</t>
  </si>
  <si>
    <t>Tokens/ Response</t>
  </si>
  <si>
    <t>A</t>
  </si>
  <si>
    <t>CNN</t>
  </si>
  <si>
    <t>TOP</t>
  </si>
  <si>
    <t>B</t>
  </si>
  <si>
    <t>LLM Small</t>
  </si>
  <si>
    <t>10 Token</t>
  </si>
  <si>
    <t>C</t>
  </si>
  <si>
    <t>LLM Large</t>
  </si>
  <si>
    <t>40 Token</t>
  </si>
  <si>
    <t>Request / Day</t>
  </si>
  <si>
    <t>$ / GPU Hr
&lt;1 sec</t>
  </si>
  <si>
    <t>$ / GPU Hr
&lt;20 sec</t>
  </si>
  <si>
    <t>Value</t>
  </si>
  <si>
    <t>Customer</t>
  </si>
  <si>
    <t>Operating Parameters</t>
  </si>
  <si>
    <t>Number of Racks</t>
  </si>
  <si>
    <t>/month</t>
  </si>
  <si>
    <t>Max Power / Rack</t>
  </si>
  <si>
    <t>kW</t>
  </si>
  <si>
    <t>Other Cost</t>
  </si>
  <si>
    <t>Power loss to Rack</t>
  </si>
  <si>
    <t>Operating Cost</t>
  </si>
  <si>
    <t>Maintenance/Rack</t>
  </si>
  <si>
    <t>Net Profit</t>
  </si>
  <si>
    <t>Overhead/Rack</t>
  </si>
  <si>
    <t>kWh</t>
  </si>
  <si>
    <t>Amoritization Period</t>
  </si>
  <si>
    <t>Months</t>
  </si>
  <si>
    <t>Amoritization Interest</t>
  </si>
  <si>
    <t>Monthly Amortization</t>
  </si>
  <si>
    <t>Servers / Rack</t>
  </si>
  <si>
    <t>GPUs / Server</t>
  </si>
  <si>
    <t>Idle Power / Server</t>
  </si>
  <si>
    <t>Total Active Power / Server w/o GPU</t>
  </si>
  <si>
    <t>Active GPU Hrs / Month</t>
  </si>
  <si>
    <t>Peak GPUs Requested</t>
  </si>
  <si>
    <t>Revenue / Month</t>
  </si>
  <si>
    <t>Max Power Cost</t>
  </si>
  <si>
    <t>Max Server Hours</t>
  </si>
  <si>
    <t>Max GPU Hours</t>
  </si>
  <si>
    <t>Max Rack Hours</t>
  </si>
  <si>
    <t>Max Active Power / Rack</t>
  </si>
  <si>
    <t>Checks</t>
  </si>
  <si>
    <t>Server Amortization</t>
  </si>
  <si>
    <t>Active Power Cost</t>
  </si>
  <si>
    <t>GPU Power (W) / Request</t>
  </si>
  <si>
    <t>Active Servers Hrs/Month</t>
  </si>
  <si>
    <t>Idle Power Cost</t>
  </si>
  <si>
    <t>Peak GPU &gt; Max GPU</t>
  </si>
  <si>
    <t>Oversubscribed Servers</t>
  </si>
  <si>
    <t>Oversubscribed Power</t>
  </si>
  <si>
    <t>Revenue</t>
  </si>
  <si>
    <t>Compute Time (sec) / Request</t>
  </si>
  <si>
    <t># GPUs Allocated / Request</t>
  </si>
  <si>
    <t>Monthly</t>
  </si>
  <si>
    <t>Active Power Cost w/o Loss</t>
  </si>
  <si>
    <t>ASP Volume</t>
  </si>
  <si>
    <t>Server Cost</t>
  </si>
  <si>
    <t>Qty</t>
  </si>
  <si>
    <t>CPU Cost</t>
  </si>
  <si>
    <t>Unit Total</t>
  </si>
  <si>
    <t>Mainboard, Memory, Smart NIC, etc</t>
  </si>
  <si>
    <t>GPU Cost</t>
  </si>
  <si>
    <t>TOTAL</t>
  </si>
  <si>
    <t>Case, PSU, Thermal, etc</t>
  </si>
  <si>
    <t>Unit Cost</t>
  </si>
  <si>
    <t>Air Cooled</t>
  </si>
  <si>
    <t>Water Cooled</t>
  </si>
  <si>
    <t>&lt;------------------------</t>
  </si>
  <si>
    <t>Rev 0</t>
  </si>
  <si>
    <t>Financial</t>
  </si>
  <si>
    <t>Orange Cells</t>
  </si>
  <si>
    <t>Values to link or enter based on other modeling</t>
  </si>
  <si>
    <r>
      <t xml:space="preserve"> </t>
    </r>
    <r>
      <rPr>
        <b/>
        <sz val="11"/>
        <color theme="1"/>
        <rFont val="Aptos Narrow"/>
        <family val="2"/>
        <scheme val="minor"/>
      </rPr>
      <t>Issue</t>
    </r>
    <r>
      <rPr>
        <sz val="11"/>
        <color theme="1"/>
        <rFont val="Aptos Narrow"/>
        <family val="2"/>
        <scheme val="minor"/>
      </rPr>
      <t xml:space="preserve"> =&gt; Risk of peak load causing slower times</t>
    </r>
  </si>
  <si>
    <r>
      <t xml:space="preserve"> </t>
    </r>
    <r>
      <rPr>
        <b/>
        <sz val="11"/>
        <color theme="1"/>
        <rFont val="Aptos Narrow"/>
        <family val="2"/>
        <scheme val="minor"/>
      </rPr>
      <t>Broken</t>
    </r>
    <r>
      <rPr>
        <sz val="11"/>
        <color theme="1"/>
        <rFont val="Aptos Narrow"/>
        <family val="2"/>
        <scheme val="minor"/>
      </rPr>
      <t xml:space="preserve"> =&gt; Does not meet requirement constraint</t>
    </r>
  </si>
  <si>
    <r>
      <t xml:space="preserve"> </t>
    </r>
    <r>
      <rPr>
        <b/>
        <sz val="11"/>
        <color theme="1"/>
        <rFont val="Aptos Narrow"/>
        <family val="2"/>
        <scheme val="minor"/>
      </rPr>
      <t>Ok</t>
    </r>
    <r>
      <rPr>
        <sz val="11"/>
        <color theme="1"/>
        <rFont val="Aptos Narrow"/>
        <family val="2"/>
        <scheme val="minor"/>
      </rPr>
      <t xml:space="preserve"> =&gt; Within requirement / constraint</t>
    </r>
  </si>
  <si>
    <t>Rack Cost</t>
  </si>
  <si>
    <t>ToR Enet Switch</t>
  </si>
  <si>
    <t>Cost</t>
  </si>
  <si>
    <t>CDU</t>
  </si>
  <si>
    <t>Power (kW)</t>
  </si>
  <si>
    <t>If everything happens at once</t>
  </si>
  <si>
    <t>Server Type</t>
  </si>
  <si>
    <t>Water</t>
  </si>
  <si>
    <t>"Water" or "Air"</t>
  </si>
  <si>
    <t>Key Values for Checks or Limits</t>
  </si>
  <si>
    <t>Rack Cost Overhead to add per Server</t>
  </si>
  <si>
    <t>Server Amoritzation with Rack Overhead</t>
  </si>
  <si>
    <t>Server Cost + Rack Overhead</t>
  </si>
  <si>
    <t>100% Utilized</t>
  </si>
  <si>
    <t>DVFS Table</t>
  </si>
  <si>
    <t>F3</t>
  </si>
  <si>
    <t>Fmax</t>
  </si>
  <si>
    <t>V3</t>
  </si>
  <si>
    <t>Vmax</t>
  </si>
  <si>
    <t>F2</t>
  </si>
  <si>
    <t>V2</t>
  </si>
  <si>
    <t>F1</t>
  </si>
  <si>
    <t>V1</t>
  </si>
  <si>
    <t>F0</t>
  </si>
  <si>
    <t>V0</t>
  </si>
  <si>
    <t>Vmin</t>
  </si>
  <si>
    <t>Main_Instr_Scaling</t>
  </si>
  <si>
    <t>Instruction Precision Scaling Factor</t>
  </si>
  <si>
    <t>Updated Loading = Oct 22, 2025</t>
  </si>
  <si>
    <t>Sims</t>
  </si>
  <si>
    <t>Leavitt</t>
  </si>
  <si>
    <t>odoh</t>
  </si>
  <si>
    <t>brown</t>
  </si>
  <si>
    <t>Skattebo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</si>
</sst>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\ &quot;GHz&quot;"/>
    <numFmt numFmtId="165" formatCode="0\ \W"/>
    <numFmt numFmtId="166" formatCode="0\ \C"/>
    <numFmt numFmtId="167" formatCode="0.0\ \V"/>
    <numFmt numFmtId="168" formatCode="0.0\ \W"/>
    <numFmt numFmtId="169" formatCode="0\ &quot;TFLOPs&quot;"/>
    <numFmt numFmtId="170" formatCode="_(&quot;$&quot;* #,##0_);_(&quot;$&quot;* \(#,##0\);_(&quot;$&quot;* &quot;-&quot;??_);_(@_)"/>
    <numFmt numFmtId="171" formatCode="&quot;$&quot;#,##0"/>
    <numFmt numFmtId="172" formatCode="0.00\ &quot;GHz&quot;"/>
    <numFmt numFmtId="173" formatCode="0.00\ \V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2" xfId="0" applyFon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left"/>
    </xf>
    <xf numFmtId="168" fontId="0" fillId="0" borderId="2" xfId="0" applyNumberFormat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2" fontId="0" fillId="0" borderId="1" xfId="0" applyNumberFormat="1" applyBorder="1" applyAlignment="1">
      <alignment horizontal="left" vertical="center" wrapText="1"/>
    </xf>
    <xf numFmtId="168" fontId="0" fillId="0" borderId="1" xfId="0" applyNumberFormat="1" applyBorder="1" applyAlignment="1">
      <alignment horizontal="left" vertical="center" wrapText="1"/>
    </xf>
    <xf numFmtId="165" fontId="0" fillId="0" borderId="1" xfId="0" applyNumberFormat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1" fillId="3" borderId="2" xfId="0" applyFont="1" applyFill="1" applyBorder="1"/>
    <xf numFmtId="0" fontId="0" fillId="3" borderId="0" xfId="0" applyFill="1"/>
    <xf numFmtId="0" fontId="0" fillId="3" borderId="2" xfId="0" applyFill="1" applyBorder="1" applyAlignment="1">
      <alignment horizontal="left"/>
    </xf>
    <xf numFmtId="168" fontId="0" fillId="3" borderId="2" xfId="0" applyNumberFormat="1" applyFill="1" applyBorder="1" applyAlignment="1">
      <alignment horizontal="left"/>
    </xf>
    <xf numFmtId="2" fontId="0" fillId="3" borderId="2" xfId="0" applyNumberFormat="1" applyFill="1" applyBorder="1" applyAlignment="1">
      <alignment horizontal="left"/>
    </xf>
    <xf numFmtId="0" fontId="0" fillId="3" borderId="1" xfId="0" applyFill="1" applyBorder="1" applyAlignment="1">
      <alignment horizontal="left" vertical="center" wrapText="1"/>
    </xf>
    <xf numFmtId="2" fontId="0" fillId="3" borderId="1" xfId="0" applyNumberFormat="1" applyFill="1" applyBorder="1" applyAlignment="1">
      <alignment horizontal="left" vertical="center" wrapText="1"/>
    </xf>
    <xf numFmtId="168" fontId="0" fillId="3" borderId="1" xfId="0" applyNumberFormat="1" applyFill="1" applyBorder="1" applyAlignment="1">
      <alignment horizontal="left" vertical="center" wrapText="1"/>
    </xf>
    <xf numFmtId="165" fontId="0" fillId="3" borderId="1" xfId="0" applyNumberFormat="1" applyFill="1" applyBorder="1" applyAlignment="1">
      <alignment horizontal="left" vertical="center" wrapText="1"/>
    </xf>
    <xf numFmtId="9" fontId="0" fillId="3" borderId="1" xfId="0" applyNumberFormat="1" applyFill="1" applyBorder="1" applyAlignment="1">
      <alignment horizontal="left" vertical="center" wrapText="1"/>
    </xf>
    <xf numFmtId="166" fontId="0" fillId="3" borderId="1" xfId="0" applyNumberFormat="1" applyFill="1" applyBorder="1" applyAlignment="1">
      <alignment horizontal="left" vertical="center" wrapText="1"/>
    </xf>
    <xf numFmtId="164" fontId="0" fillId="3" borderId="2" xfId="0" applyNumberFormat="1" applyFill="1" applyBorder="1" applyAlignment="1">
      <alignment horizontal="left"/>
    </xf>
    <xf numFmtId="164" fontId="0" fillId="0" borderId="2" xfId="0" applyNumberFormat="1" applyBorder="1" applyAlignment="1">
      <alignment horizontal="left"/>
    </xf>
    <xf numFmtId="165" fontId="0" fillId="3" borderId="2" xfId="0" applyNumberFormat="1" applyFill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7" fontId="0" fillId="2" borderId="2" xfId="0" applyNumberFormat="1" applyFill="1" applyBorder="1" applyAlignment="1">
      <alignment horizontal="left"/>
    </xf>
    <xf numFmtId="166" fontId="0" fillId="3" borderId="2" xfId="0" applyNumberFormat="1" applyFill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2" borderId="2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9" fontId="0" fillId="2" borderId="2" xfId="0" applyNumberFormat="1" applyFill="1" applyBorder="1" applyAlignment="1">
      <alignment horizontal="left"/>
    </xf>
    <xf numFmtId="166" fontId="0" fillId="3" borderId="7" xfId="0" applyNumberFormat="1" applyFill="1" applyBorder="1" applyAlignment="1">
      <alignment horizontal="left" vertical="center" wrapText="1"/>
    </xf>
    <xf numFmtId="166" fontId="0" fillId="0" borderId="7" xfId="0" applyNumberFormat="1" applyBorder="1" applyAlignment="1">
      <alignment horizontal="left" vertical="center" wrapText="1"/>
    </xf>
    <xf numFmtId="0" fontId="3" fillId="0" borderId="2" xfId="0" applyFont="1" applyBorder="1" applyAlignment="1">
      <alignment vertical="top" wrapText="1"/>
    </xf>
    <xf numFmtId="0" fontId="5" fillId="0" borderId="2" xfId="0" applyFont="1" applyBorder="1" applyAlignment="1">
      <alignment horizontal="left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3" fontId="5" fillId="0" borderId="2" xfId="0" applyNumberFormat="1" applyFont="1" applyBorder="1" applyAlignment="1">
      <alignment horizontal="left" vertical="center" wrapText="1" readingOrder="1"/>
    </xf>
    <xf numFmtId="9" fontId="5" fillId="0" borderId="2" xfId="1" applyFont="1" applyFill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6" fontId="0" fillId="0" borderId="0" xfId="0" applyNumberFormat="1"/>
    <xf numFmtId="0" fontId="6" fillId="0" borderId="2" xfId="0" applyFont="1" applyBorder="1" applyAlignment="1">
      <alignment horizontal="left" wrapText="1" indent="1" readingOrder="1"/>
    </xf>
    <xf numFmtId="0" fontId="3" fillId="0" borderId="2" xfId="0" applyFont="1" applyBorder="1" applyAlignment="1">
      <alignment wrapText="1"/>
    </xf>
    <xf numFmtId="0" fontId="7" fillId="0" borderId="2" xfId="0" applyFont="1" applyBorder="1" applyAlignment="1">
      <alignment horizontal="left" wrapText="1" indent="1" readingOrder="1"/>
    </xf>
    <xf numFmtId="6" fontId="6" fillId="0" borderId="2" xfId="0" applyNumberFormat="1" applyFont="1" applyBorder="1" applyAlignment="1">
      <alignment horizontal="right" wrapText="1" indent="1" readingOrder="1"/>
    </xf>
    <xf numFmtId="0" fontId="6" fillId="0" borderId="2" xfId="0" applyFont="1" applyBorder="1" applyAlignment="1">
      <alignment horizontal="right" wrapText="1" indent="1" readingOrder="1"/>
    </xf>
    <xf numFmtId="0" fontId="4" fillId="0" borderId="0" xfId="0" applyFont="1" applyAlignment="1">
      <alignment horizontal="left" vertical="center" readingOrder="1"/>
    </xf>
    <xf numFmtId="0" fontId="0" fillId="4" borderId="0" xfId="0" applyFill="1"/>
    <xf numFmtId="0" fontId="4" fillId="4" borderId="0" xfId="0" applyFont="1" applyFill="1" applyAlignment="1">
      <alignment horizontal="left" vertical="center" readingOrder="1"/>
    </xf>
    <xf numFmtId="0" fontId="1" fillId="0" borderId="2" xfId="0" applyFont="1" applyBorder="1" applyAlignment="1">
      <alignment wrapText="1"/>
    </xf>
    <xf numFmtId="9" fontId="0" fillId="0" borderId="2" xfId="0" applyNumberFormat="1" applyBorder="1"/>
    <xf numFmtId="8" fontId="0" fillId="0" borderId="2" xfId="0" applyNumberFormat="1" applyBorder="1"/>
    <xf numFmtId="6" fontId="0" fillId="0" borderId="2" xfId="0" applyNumberFormat="1" applyBorder="1"/>
    <xf numFmtId="0" fontId="0" fillId="0" borderId="0" xfId="0" quotePrefix="1"/>
    <xf numFmtId="0" fontId="1" fillId="5" borderId="2" xfId="0" applyFont="1" applyFill="1" applyBorder="1"/>
    <xf numFmtId="1" fontId="0" fillId="0" borderId="2" xfId="0" applyNumberFormat="1" applyBorder="1"/>
    <xf numFmtId="1" fontId="0" fillId="4" borderId="2" xfId="0" applyNumberFormat="1" applyFill="1" applyBorder="1"/>
    <xf numFmtId="0" fontId="0" fillId="4" borderId="2" xfId="0" applyFill="1" applyBorder="1"/>
    <xf numFmtId="0" fontId="8" fillId="0" borderId="2" xfId="0" applyFont="1" applyBorder="1" applyAlignment="1">
      <alignment horizontal="left" wrapText="1" indent="1" readingOrder="1"/>
    </xf>
    <xf numFmtId="0" fontId="0" fillId="6" borderId="2" xfId="0" applyFill="1" applyBorder="1"/>
    <xf numFmtId="171" fontId="0" fillId="0" borderId="2" xfId="2" applyNumberFormat="1" applyFont="1" applyBorder="1"/>
    <xf numFmtId="171" fontId="0" fillId="0" borderId="2" xfId="0" applyNumberFormat="1" applyBorder="1"/>
    <xf numFmtId="171" fontId="0" fillId="4" borderId="2" xfId="2" applyNumberFormat="1" applyFont="1" applyFill="1" applyBorder="1"/>
    <xf numFmtId="171" fontId="1" fillId="0" borderId="2" xfId="2" applyNumberFormat="1" applyFont="1" applyBorder="1"/>
    <xf numFmtId="171" fontId="1" fillId="5" borderId="2" xfId="2" applyNumberFormat="1" applyFont="1" applyFill="1" applyBorder="1"/>
    <xf numFmtId="1" fontId="0" fillId="4" borderId="2" xfId="1" applyNumberFormat="1" applyFont="1" applyFill="1" applyBorder="1"/>
    <xf numFmtId="0" fontId="1" fillId="0" borderId="2" xfId="0" applyFont="1" applyBorder="1" applyAlignment="1">
      <alignment horizontal="center"/>
    </xf>
    <xf numFmtId="6" fontId="0" fillId="6" borderId="2" xfId="0" applyNumberFormat="1" applyFill="1" applyBorder="1" applyAlignment="1">
      <alignment horizontal="left"/>
    </xf>
    <xf numFmtId="0" fontId="1" fillId="7" borderId="2" xfId="0" applyFont="1" applyFill="1" applyBorder="1"/>
    <xf numFmtId="0" fontId="0" fillId="7" borderId="2" xfId="0" applyFill="1" applyBorder="1" applyAlignment="1">
      <alignment horizontal="left"/>
    </xf>
    <xf numFmtId="166" fontId="0" fillId="7" borderId="2" xfId="0" applyNumberFormat="1" applyFill="1" applyBorder="1" applyAlignment="1">
      <alignment horizontal="left"/>
    </xf>
    <xf numFmtId="0" fontId="0" fillId="7" borderId="0" xfId="0" applyFill="1"/>
    <xf numFmtId="168" fontId="0" fillId="7" borderId="2" xfId="0" applyNumberFormat="1" applyFill="1" applyBorder="1" applyAlignment="1">
      <alignment horizontal="left"/>
    </xf>
    <xf numFmtId="2" fontId="0" fillId="7" borderId="2" xfId="0" applyNumberFormat="1" applyFill="1" applyBorder="1" applyAlignment="1">
      <alignment horizontal="left"/>
    </xf>
    <xf numFmtId="0" fontId="0" fillId="7" borderId="1" xfId="0" applyFill="1" applyBorder="1" applyAlignment="1">
      <alignment horizontal="left" vertical="center" wrapText="1"/>
    </xf>
    <xf numFmtId="2" fontId="0" fillId="7" borderId="1" xfId="0" applyNumberFormat="1" applyFill="1" applyBorder="1" applyAlignment="1">
      <alignment horizontal="left" vertical="center" wrapText="1"/>
    </xf>
    <xf numFmtId="168" fontId="0" fillId="7" borderId="1" xfId="0" applyNumberFormat="1" applyFill="1" applyBorder="1" applyAlignment="1">
      <alignment horizontal="left" vertical="center" wrapText="1"/>
    </xf>
    <xf numFmtId="165" fontId="0" fillId="7" borderId="1" xfId="0" applyNumberFormat="1" applyFill="1" applyBorder="1" applyAlignment="1">
      <alignment horizontal="left" vertical="center" wrapText="1"/>
    </xf>
    <xf numFmtId="9" fontId="0" fillId="7" borderId="1" xfId="0" applyNumberFormat="1" applyFill="1" applyBorder="1" applyAlignment="1">
      <alignment horizontal="left" vertical="center" wrapText="1"/>
    </xf>
    <xf numFmtId="166" fontId="0" fillId="7" borderId="1" xfId="0" applyNumberFormat="1" applyFill="1" applyBorder="1" applyAlignment="1">
      <alignment horizontal="left" vertical="center" wrapText="1"/>
    </xf>
    <xf numFmtId="0" fontId="0" fillId="6" borderId="2" xfId="0" applyFill="1" applyBorder="1" applyAlignment="1">
      <alignment horizontal="left"/>
    </xf>
    <xf numFmtId="164" fontId="0" fillId="6" borderId="2" xfId="0" applyNumberFormat="1" applyFill="1" applyBorder="1" applyAlignment="1">
      <alignment horizontal="left"/>
    </xf>
    <xf numFmtId="169" fontId="0" fillId="6" borderId="2" xfId="0" applyNumberFormat="1" applyFill="1" applyBorder="1" applyAlignment="1">
      <alignment horizontal="left"/>
    </xf>
    <xf numFmtId="165" fontId="0" fillId="6" borderId="2" xfId="0" applyNumberFormat="1" applyFill="1" applyBorder="1" applyAlignment="1">
      <alignment horizontal="left"/>
    </xf>
    <xf numFmtId="171" fontId="1" fillId="3" borderId="2" xfId="2" applyNumberFormat="1" applyFont="1" applyFill="1" applyBorder="1"/>
    <xf numFmtId="6" fontId="0" fillId="6" borderId="2" xfId="0" applyNumberFormat="1" applyFill="1" applyBorder="1"/>
    <xf numFmtId="0" fontId="0" fillId="6" borderId="0" xfId="0" applyFill="1"/>
    <xf numFmtId="0" fontId="1" fillId="6" borderId="0" xfId="0" applyFont="1" applyFill="1"/>
    <xf numFmtId="0" fontId="0" fillId="6" borderId="2" xfId="0" applyFill="1" applyBorder="1" applyAlignment="1">
      <alignment horizontal="right"/>
    </xf>
    <xf numFmtId="170" fontId="0" fillId="0" borderId="2" xfId="2" applyNumberFormat="1" applyFont="1" applyFill="1" applyBorder="1"/>
    <xf numFmtId="6" fontId="1" fillId="0" borderId="2" xfId="0" applyNumberFormat="1" applyFont="1" applyBorder="1"/>
    <xf numFmtId="0" fontId="1" fillId="0" borderId="0" xfId="0" applyFont="1" applyAlignment="1">
      <alignment horizontal="left" vertical="center" wrapText="1"/>
    </xf>
    <xf numFmtId="0" fontId="0" fillId="8" borderId="2" xfId="0" applyFill="1" applyBorder="1" applyAlignment="1">
      <alignment horizontal="left" vertical="center" wrapText="1"/>
    </xf>
    <xf numFmtId="0" fontId="0" fillId="8" borderId="2" xfId="0" applyFill="1" applyBorder="1"/>
    <xf numFmtId="0" fontId="0" fillId="0" borderId="2" xfId="0" applyBorder="1" applyAlignment="1">
      <alignment horizontal="left" vertical="center" wrapText="1"/>
    </xf>
    <xf numFmtId="172" fontId="0" fillId="8" borderId="2" xfId="0" applyNumberFormat="1" applyFill="1" applyBorder="1" applyAlignment="1">
      <alignment horizontal="right"/>
    </xf>
    <xf numFmtId="172" fontId="0" fillId="0" borderId="2" xfId="0" applyNumberFormat="1" applyBorder="1" applyAlignment="1">
      <alignment horizontal="right"/>
    </xf>
    <xf numFmtId="0" fontId="5" fillId="2" borderId="2" xfId="0" applyFont="1" applyFill="1" applyBorder="1" applyAlignment="1">
      <alignment horizontal="left" vertical="center" wrapText="1" readingOrder="1"/>
    </xf>
    <xf numFmtId="0" fontId="5" fillId="2" borderId="2" xfId="0" applyFont="1" applyFill="1" applyBorder="1" applyAlignment="1">
      <alignment horizontal="left" vertical="center" readingOrder="1"/>
    </xf>
    <xf numFmtId="173" fontId="0" fillId="8" borderId="2" xfId="0" applyNumberFormat="1" applyFill="1" applyBorder="1" applyAlignment="1">
      <alignment horizontal="right"/>
    </xf>
    <xf numFmtId="173" fontId="0" fillId="0" borderId="2" xfId="0" applyNumberFormat="1" applyBorder="1" applyAlignment="1">
      <alignment horizontal="right"/>
    </xf>
    <xf numFmtId="9" fontId="5" fillId="0" borderId="0" xfId="1" applyFont="1" applyFill="1" applyBorder="1" applyAlignment="1">
      <alignment horizontal="left" vertical="center" wrapText="1" readingOrder="1"/>
    </xf>
    <xf numFmtId="0" fontId="6" fillId="0" borderId="0" xfId="0" applyFont="1" applyAlignment="1">
      <alignment horizontal="left" wrapText="1" indent="1" readingOrder="1"/>
    </xf>
    <xf numFmtId="0" fontId="6" fillId="0" borderId="0" xfId="1" applyNumberFormat="1" applyFont="1" applyFill="1" applyBorder="1" applyAlignment="1">
      <alignment horizontal="right" wrapText="1" indent="1" readingOrder="1"/>
    </xf>
    <xf numFmtId="0" fontId="6" fillId="0" borderId="0" xfId="0" applyFont="1" applyAlignment="1">
      <alignment horizontal="right" wrapText="1" indent="1" readingOrder="1"/>
    </xf>
    <xf numFmtId="0" fontId="6" fillId="0" borderId="0" xfId="0" applyFont="1" applyAlignment="1">
      <alignment horizontal="left" indent="1" readingOrder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 readingOrder="1"/>
    </xf>
    <xf numFmtId="3" fontId="5" fillId="0" borderId="0" xfId="0" applyNumberFormat="1" applyFont="1" applyAlignment="1">
      <alignment horizontal="left" vertical="center" wrapText="1" readingOrder="1"/>
    </xf>
    <xf numFmtId="0" fontId="3" fillId="0" borderId="0" xfId="0" applyFont="1" applyAlignment="1">
      <alignment wrapText="1"/>
    </xf>
    <xf numFmtId="0" fontId="7" fillId="0" borderId="0" xfId="0" applyFont="1" applyAlignment="1">
      <alignment horizontal="left" wrapText="1" indent="1" readingOrder="1"/>
    </xf>
    <xf numFmtId="9" fontId="6" fillId="0" borderId="0" xfId="0" applyNumberFormat="1" applyFont="1" applyAlignment="1">
      <alignment horizontal="right" wrapText="1" indent="1" readingOrder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 applyAlignment="1">
      <alignment horizontal="center" wrapText="1" readingOrder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2"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60D0C-F833-4E53-BE0A-32A0857FBD08}" name="Table1" displayName="Table1" ref="B34:E41" totalsRowShown="0" headerRowDxfId="1" tableBorderDxfId="0">
  <autoFilter ref="B34:E41" xr:uid="{95B60D0C-F833-4E53-BE0A-32A0857FBD08}"/>
  <tableColumns count="4">
    <tableColumn id="1" xr3:uid="{7542901C-79C1-4A35-9581-49F1540407D4}" name="6543P-B"/>
    <tableColumn id="2" xr3:uid="{DC489659-FE43-4DC5-825D-98D10375F1C9}" name="6716P-B"/>
    <tableColumn id="3" xr3:uid="{668B001A-6618-44EB-825B-DC376828ACB9}" name="6774P"/>
    <tableColumn id="4" xr3:uid="{6227CED7-21AC-4792-8677-08DD874FC610}" name="6978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6F4E-2AA1-4BC2-B8B9-B97C5301D8CE}">
  <dimension ref="A1:K40"/>
  <sheetViews>
    <sheetView zoomScaleNormal="100" workbookViewId="0">
      <selection activeCell="F18" sqref="F18"/>
    </sheetView>
  </sheetViews>
  <sheetFormatPr defaultRowHeight="14.5" x14ac:dyDescent="0.35"/>
  <cols>
    <col min="1" max="1" width="31.54296875" customWidth="1"/>
    <col min="2" max="2" width="11.54296875" customWidth="1"/>
    <col min="3" max="4" width="15.54296875" customWidth="1"/>
    <col min="5" max="5" width="21.7265625" customWidth="1"/>
    <col min="6" max="6" width="16.7265625" customWidth="1"/>
    <col min="7" max="7" width="13.26953125" customWidth="1"/>
    <col min="8" max="8" width="12.7265625" customWidth="1"/>
    <col min="9" max="9" width="14.54296875" customWidth="1"/>
    <col min="10" max="10" width="12.81640625" customWidth="1"/>
    <col min="11" max="11" width="14.7265625" customWidth="1"/>
  </cols>
  <sheetData>
    <row r="1" spans="1:11" x14ac:dyDescent="0.35">
      <c r="A1" s="2" t="s">
        <v>176</v>
      </c>
    </row>
    <row r="2" spans="1:11" x14ac:dyDescent="0.35">
      <c r="A2" t="s">
        <v>175</v>
      </c>
    </row>
    <row r="3" spans="1:11" x14ac:dyDescent="0.35">
      <c r="F3" s="119" t="s">
        <v>118</v>
      </c>
      <c r="G3" s="120"/>
    </row>
    <row r="4" spans="1:11" ht="29" x14ac:dyDescent="0.35">
      <c r="A4" s="3" t="s">
        <v>119</v>
      </c>
      <c r="B4" s="53" t="s">
        <v>115</v>
      </c>
      <c r="C4" s="53" t="s">
        <v>158</v>
      </c>
      <c r="D4" s="53" t="s">
        <v>159</v>
      </c>
      <c r="E4" s="53" t="s">
        <v>151</v>
      </c>
      <c r="F4" s="62" t="s">
        <v>116</v>
      </c>
      <c r="G4" s="62" t="s">
        <v>117</v>
      </c>
      <c r="H4" s="53" t="s">
        <v>140</v>
      </c>
      <c r="I4" s="53" t="s">
        <v>152</v>
      </c>
      <c r="J4" s="53" t="s">
        <v>142</v>
      </c>
      <c r="K4" s="53" t="s">
        <v>161</v>
      </c>
    </row>
    <row r="5" spans="1:11" x14ac:dyDescent="0.35">
      <c r="A5" s="5" t="s">
        <v>106</v>
      </c>
      <c r="B5" s="5">
        <f>Load!B19</f>
        <v>60000000</v>
      </c>
      <c r="C5" s="63">
        <v>0.5</v>
      </c>
      <c r="D5" s="63">
        <v>1</v>
      </c>
      <c r="E5" s="63">
        <v>600</v>
      </c>
      <c r="F5" s="48">
        <f>Load!D19</f>
        <v>6</v>
      </c>
      <c r="G5" s="48">
        <f>Load!E19</f>
        <v>3</v>
      </c>
      <c r="H5" s="5">
        <f>(C5*B5*D5*30)/(60*60)</f>
        <v>250000</v>
      </c>
      <c r="I5" s="59">
        <f>H5/B$13</f>
        <v>31250</v>
      </c>
      <c r="J5" s="64">
        <f>(IF(C5&lt;1,F5,G5))*H5</f>
        <v>1500000</v>
      </c>
      <c r="K5" s="65">
        <f>((H5*E5/1000)+I5*B$15)*B$22</f>
        <v>55000</v>
      </c>
    </row>
    <row r="6" spans="1:11" x14ac:dyDescent="0.35">
      <c r="A6" s="5" t="s">
        <v>109</v>
      </c>
      <c r="B6" s="5">
        <f>Load!B20</f>
        <v>30000000</v>
      </c>
      <c r="C6" s="63">
        <v>10</v>
      </c>
      <c r="D6" s="63">
        <v>4</v>
      </c>
      <c r="E6" s="63">
        <v>700</v>
      </c>
      <c r="F6" s="48">
        <f>Load!D20</f>
        <v>8</v>
      </c>
      <c r="G6" s="48">
        <f>Load!E20</f>
        <v>6</v>
      </c>
      <c r="H6" s="5">
        <f>(C6*B6*D6*30)/(60*60)</f>
        <v>10000000</v>
      </c>
      <c r="I6" s="59">
        <f>H6/B$13</f>
        <v>1250000</v>
      </c>
      <c r="J6" s="64">
        <f>(IF(C6&lt;1,F6,G6))*H6</f>
        <v>60000000</v>
      </c>
      <c r="K6" s="65">
        <f>((H6*E6/1000)+I6*B$15)*B$22</f>
        <v>2400000</v>
      </c>
    </row>
    <row r="7" spans="1:11" x14ac:dyDescent="0.35">
      <c r="A7" s="5" t="s">
        <v>112</v>
      </c>
      <c r="B7" s="5">
        <f>Load!B21</f>
        <v>10000000</v>
      </c>
      <c r="C7" s="63">
        <v>15</v>
      </c>
      <c r="D7" s="63">
        <v>16</v>
      </c>
      <c r="E7" s="63">
        <v>800</v>
      </c>
      <c r="F7" s="48">
        <f>Load!D21</f>
        <v>15</v>
      </c>
      <c r="G7" s="48">
        <f>Load!E21</f>
        <v>13</v>
      </c>
      <c r="H7" s="59">
        <f>(C7*B7*D7*30)/(60*60)</f>
        <v>20000000</v>
      </c>
      <c r="I7" s="59">
        <f>H7/B$13</f>
        <v>2500000</v>
      </c>
      <c r="J7" s="64">
        <f>(IF(C7&lt;1,F7,G7))*H7</f>
        <v>260000000</v>
      </c>
      <c r="K7" s="65">
        <f>((H7*E7/1000)+I7*B$15)*B$22</f>
        <v>5200000</v>
      </c>
    </row>
    <row r="8" spans="1:11" x14ac:dyDescent="0.35">
      <c r="A8" s="61" t="s">
        <v>101</v>
      </c>
      <c r="B8" s="69">
        <f>SUM(B5:B7)</f>
        <v>100000000</v>
      </c>
      <c r="H8" s="60">
        <f>SUM(H5:H7)</f>
        <v>30250000</v>
      </c>
      <c r="I8" s="60">
        <f>SUM(I5:I7)</f>
        <v>3781250</v>
      </c>
      <c r="J8" s="66">
        <f>SUM(J5:J7)</f>
        <v>321500000</v>
      </c>
      <c r="K8" s="66">
        <f>SUM(K5:K7)</f>
        <v>7655000</v>
      </c>
    </row>
    <row r="9" spans="1:11" x14ac:dyDescent="0.35">
      <c r="E9" s="44"/>
      <c r="K9" s="44"/>
    </row>
    <row r="10" spans="1:11" x14ac:dyDescent="0.35">
      <c r="A10" s="122" t="s">
        <v>120</v>
      </c>
      <c r="B10" s="122"/>
      <c r="E10" s="122" t="s">
        <v>191</v>
      </c>
      <c r="F10" s="122"/>
      <c r="H10" s="91" t="s">
        <v>177</v>
      </c>
    </row>
    <row r="11" spans="1:11" x14ac:dyDescent="0.35">
      <c r="A11" s="5" t="s">
        <v>121</v>
      </c>
      <c r="B11" s="5">
        <v>100</v>
      </c>
      <c r="E11" s="5" t="s">
        <v>146</v>
      </c>
      <c r="F11" s="5">
        <f xml:space="preserve"> 30*24*B11</f>
        <v>72000</v>
      </c>
      <c r="H11" s="91" t="s">
        <v>178</v>
      </c>
      <c r="I11" s="90"/>
      <c r="J11" s="90"/>
      <c r="K11" s="90"/>
    </row>
    <row r="12" spans="1:11" x14ac:dyDescent="0.35">
      <c r="A12" s="5" t="s">
        <v>136</v>
      </c>
      <c r="B12" s="63">
        <v>4</v>
      </c>
      <c r="E12" s="5" t="s">
        <v>144</v>
      </c>
      <c r="F12" s="5">
        <f>F11*B12</f>
        <v>288000</v>
      </c>
    </row>
    <row r="13" spans="1:11" x14ac:dyDescent="0.35">
      <c r="A13" s="5" t="s">
        <v>137</v>
      </c>
      <c r="B13" s="63">
        <v>8</v>
      </c>
      <c r="E13" s="5" t="s">
        <v>145</v>
      </c>
      <c r="F13" s="5">
        <f>F12*B13</f>
        <v>2304000</v>
      </c>
    </row>
    <row r="14" spans="1:11" x14ac:dyDescent="0.35">
      <c r="A14" s="5" t="s">
        <v>188</v>
      </c>
      <c r="B14" s="92" t="s">
        <v>189</v>
      </c>
      <c r="C14" t="s">
        <v>190</v>
      </c>
      <c r="E14" s="5" t="s">
        <v>141</v>
      </c>
      <c r="F14" s="59">
        <f>(D5*B5+B6*D6+B7*D7)/(24*60*60)</f>
        <v>3935.1851851851852</v>
      </c>
      <c r="G14" t="s">
        <v>187</v>
      </c>
    </row>
    <row r="15" spans="1:11" x14ac:dyDescent="0.35">
      <c r="A15" s="5" t="s">
        <v>139</v>
      </c>
      <c r="B15" s="5">
        <v>4</v>
      </c>
      <c r="C15" t="s">
        <v>124</v>
      </c>
      <c r="E15" s="5" t="s">
        <v>143</v>
      </c>
      <c r="F15" s="56">
        <f>(B22*B16*F11)/(1-B19)</f>
        <v>668463.15789473685</v>
      </c>
      <c r="G15" t="s">
        <v>195</v>
      </c>
    </row>
    <row r="16" spans="1:11" x14ac:dyDescent="0.35">
      <c r="A16" s="5" t="s">
        <v>147</v>
      </c>
      <c r="B16" s="5">
        <f>C31+(IF(B14="Water",C32,0))+((MAX(E5:E7)/1000)*B13+B15)*B12</f>
        <v>44.1</v>
      </c>
      <c r="C16" t="s">
        <v>124</v>
      </c>
    </row>
    <row r="17" spans="1:7" x14ac:dyDescent="0.35">
      <c r="A17" s="5" t="s">
        <v>138</v>
      </c>
      <c r="B17" s="5">
        <v>2</v>
      </c>
      <c r="E17" s="122" t="s">
        <v>148</v>
      </c>
      <c r="F17" s="122"/>
    </row>
    <row r="18" spans="1:7" x14ac:dyDescent="0.35">
      <c r="A18" s="5" t="s">
        <v>123</v>
      </c>
      <c r="B18" s="5">
        <v>50</v>
      </c>
      <c r="C18" t="s">
        <v>124</v>
      </c>
      <c r="E18" s="5" t="s">
        <v>154</v>
      </c>
      <c r="F18" s="5" t="str">
        <f xml:space="preserve"> IF(F14&gt; (B11*B12*B13), "Issue", "Ok")</f>
        <v>Issue</v>
      </c>
      <c r="G18" t="s">
        <v>179</v>
      </c>
    </row>
    <row r="19" spans="1:7" x14ac:dyDescent="0.35">
      <c r="A19" s="5" t="s">
        <v>126</v>
      </c>
      <c r="B19" s="54">
        <v>0.05</v>
      </c>
      <c r="E19" s="5" t="s">
        <v>155</v>
      </c>
      <c r="F19" s="5" t="str">
        <f xml:space="preserve"> IF(I8&gt;F12, "Broken", "Ok")</f>
        <v>Broken</v>
      </c>
      <c r="G19" t="s">
        <v>180</v>
      </c>
    </row>
    <row r="20" spans="1:7" x14ac:dyDescent="0.35">
      <c r="A20" s="5" t="s">
        <v>128</v>
      </c>
      <c r="B20" s="56">
        <v>500</v>
      </c>
      <c r="C20" s="57" t="s">
        <v>122</v>
      </c>
      <c r="E20" s="5" t="s">
        <v>156</v>
      </c>
      <c r="F20" s="5" t="str">
        <f xml:space="preserve"> IF(B16 &gt; B18, "Broken", "Ok")</f>
        <v>Ok</v>
      </c>
      <c r="G20" t="s">
        <v>181</v>
      </c>
    </row>
    <row r="21" spans="1:7" x14ac:dyDescent="0.35">
      <c r="A21" s="5" t="s">
        <v>130</v>
      </c>
      <c r="B21" s="56">
        <v>100</v>
      </c>
      <c r="C21" s="57" t="s">
        <v>122</v>
      </c>
    </row>
    <row r="22" spans="1:7" x14ac:dyDescent="0.35">
      <c r="A22" s="5" t="s">
        <v>131</v>
      </c>
      <c r="B22" s="55">
        <v>0.2</v>
      </c>
      <c r="F22" s="70" t="s">
        <v>160</v>
      </c>
    </row>
    <row r="23" spans="1:7" x14ac:dyDescent="0.35">
      <c r="E23" s="3" t="s">
        <v>157</v>
      </c>
      <c r="F23" s="67">
        <f>J8</f>
        <v>321500000</v>
      </c>
    </row>
    <row r="24" spans="1:7" x14ac:dyDescent="0.35">
      <c r="A24" s="122" t="s">
        <v>193</v>
      </c>
      <c r="B24" s="122"/>
      <c r="E24" s="5" t="s">
        <v>149</v>
      </c>
      <c r="F24" s="64">
        <f>B11*B12*B28</f>
        <v>1672127.8728830032</v>
      </c>
    </row>
    <row r="25" spans="1:7" x14ac:dyDescent="0.35">
      <c r="A25" s="5" t="s">
        <v>194</v>
      </c>
      <c r="B25" s="93">
        <f>D40+B33</f>
        <v>196250</v>
      </c>
      <c r="E25" s="5" t="s">
        <v>150</v>
      </c>
      <c r="F25" s="64">
        <f>SUM(K5:K7)/(1-B19)</f>
        <v>8057894.7368421061</v>
      </c>
    </row>
    <row r="26" spans="1:7" x14ac:dyDescent="0.35">
      <c r="A26" s="5" t="s">
        <v>132</v>
      </c>
      <c r="B26" s="5">
        <v>50</v>
      </c>
      <c r="C26" t="s">
        <v>133</v>
      </c>
      <c r="E26" s="5" t="s">
        <v>153</v>
      </c>
      <c r="F26" s="64">
        <f>((F12-I8)*B17*B22)/(1-B19)</f>
        <v>-1470842.105263158</v>
      </c>
    </row>
    <row r="27" spans="1:7" x14ac:dyDescent="0.35">
      <c r="A27" s="5" t="s">
        <v>134</v>
      </c>
      <c r="B27" s="54">
        <v>0.03</v>
      </c>
      <c r="E27" s="5" t="s">
        <v>125</v>
      </c>
      <c r="F27" s="64">
        <f xml:space="preserve"> (B20+B21)*B11</f>
        <v>60000</v>
      </c>
    </row>
    <row r="28" spans="1:7" x14ac:dyDescent="0.35">
      <c r="A28" s="5" t="s">
        <v>135</v>
      </c>
      <c r="B28" s="55">
        <f>-1*PMT(B27/12,B26,B25,0)</f>
        <v>4180.3196822075079</v>
      </c>
      <c r="C28" s="57" t="s">
        <v>122</v>
      </c>
      <c r="E28" s="3" t="s">
        <v>127</v>
      </c>
      <c r="F28" s="67">
        <f>SUM(F24:F27)</f>
        <v>8319180.5044619525</v>
      </c>
    </row>
    <row r="29" spans="1:7" x14ac:dyDescent="0.35">
      <c r="E29" s="58" t="s">
        <v>129</v>
      </c>
      <c r="F29" s="68">
        <f>F23-SUM(F24:F27)</f>
        <v>313180819.49553806</v>
      </c>
    </row>
    <row r="30" spans="1:7" x14ac:dyDescent="0.35">
      <c r="A30" s="14" t="s">
        <v>182</v>
      </c>
      <c r="B30" s="14" t="s">
        <v>184</v>
      </c>
      <c r="C30" s="14" t="s">
        <v>186</v>
      </c>
    </row>
    <row r="31" spans="1:7" x14ac:dyDescent="0.35">
      <c r="A31" s="5" t="s">
        <v>183</v>
      </c>
      <c r="B31" s="56">
        <v>4000</v>
      </c>
      <c r="C31" s="5">
        <v>1</v>
      </c>
      <c r="D31" t="s">
        <v>124</v>
      </c>
    </row>
    <row r="32" spans="1:7" x14ac:dyDescent="0.35">
      <c r="A32" s="5" t="s">
        <v>185</v>
      </c>
      <c r="B32" s="56">
        <v>5000</v>
      </c>
      <c r="C32" s="5">
        <v>1.5</v>
      </c>
      <c r="D32" t="s">
        <v>124</v>
      </c>
    </row>
    <row r="33" spans="1:7" x14ac:dyDescent="0.35">
      <c r="A33" s="5" t="s">
        <v>192</v>
      </c>
      <c r="B33" s="94">
        <f>(IF(B14="Water",(B31+B32),B31))/B12</f>
        <v>2250</v>
      </c>
    </row>
    <row r="35" spans="1:7" x14ac:dyDescent="0.35">
      <c r="A35" s="14" t="s">
        <v>163</v>
      </c>
      <c r="B35" s="14" t="s">
        <v>164</v>
      </c>
      <c r="C35" s="14" t="s">
        <v>171</v>
      </c>
      <c r="D35" s="14" t="s">
        <v>166</v>
      </c>
    </row>
    <row r="36" spans="1:7" x14ac:dyDescent="0.35">
      <c r="A36" s="5" t="s">
        <v>167</v>
      </c>
      <c r="B36" s="5">
        <v>1</v>
      </c>
      <c r="C36" s="56">
        <v>25000</v>
      </c>
      <c r="D36" s="56">
        <f>B36*C36</f>
        <v>25000</v>
      </c>
    </row>
    <row r="37" spans="1:7" x14ac:dyDescent="0.35">
      <c r="A37" s="5" t="s">
        <v>165</v>
      </c>
      <c r="B37" s="63">
        <v>2</v>
      </c>
      <c r="C37" s="89">
        <v>4500</v>
      </c>
      <c r="D37" s="56">
        <f>B37*C37</f>
        <v>9000</v>
      </c>
      <c r="F37" s="121" t="s">
        <v>170</v>
      </c>
      <c r="G37" s="121"/>
    </row>
    <row r="38" spans="1:7" x14ac:dyDescent="0.35">
      <c r="A38" s="5" t="s">
        <v>168</v>
      </c>
      <c r="B38" s="63">
        <v>8</v>
      </c>
      <c r="C38" s="89">
        <v>20000</v>
      </c>
      <c r="D38" s="56">
        <f>B38*C38</f>
        <v>160000</v>
      </c>
      <c r="F38" s="14" t="s">
        <v>172</v>
      </c>
      <c r="G38" s="14" t="s">
        <v>173</v>
      </c>
    </row>
    <row r="39" spans="1:7" x14ac:dyDescent="0.35">
      <c r="A39" s="5" t="s">
        <v>170</v>
      </c>
      <c r="B39" s="5">
        <v>1</v>
      </c>
      <c r="C39" s="56">
        <f>IF(B14="Water",G39,F39)</f>
        <v>30000</v>
      </c>
      <c r="D39" s="56">
        <f>B39*C39</f>
        <v>30000</v>
      </c>
      <c r="E39" t="s">
        <v>174</v>
      </c>
      <c r="F39" s="56">
        <v>25000</v>
      </c>
      <c r="G39" s="56">
        <v>30000</v>
      </c>
    </row>
    <row r="40" spans="1:7" x14ac:dyDescent="0.35">
      <c r="C40" s="14" t="s">
        <v>169</v>
      </c>
      <c r="D40" s="88">
        <f>SUM(D36:D38)</f>
        <v>194000</v>
      </c>
    </row>
  </sheetData>
  <mergeCells count="6">
    <mergeCell ref="F3:G3"/>
    <mergeCell ref="F37:G37"/>
    <mergeCell ref="A24:B24"/>
    <mergeCell ref="A10:B10"/>
    <mergeCell ref="E10:F10"/>
    <mergeCell ref="E17:F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1F6C-1BFB-4194-9802-4A18F48A4583}">
  <dimension ref="A1:F51"/>
  <sheetViews>
    <sheetView tabSelected="1" topLeftCell="A34" zoomScale="85" zoomScaleNormal="85" workbookViewId="0">
      <selection activeCell="B11" sqref="B11"/>
    </sheetView>
  </sheetViews>
  <sheetFormatPr defaultRowHeight="14.5" x14ac:dyDescent="0.35"/>
  <cols>
    <col min="1" max="1" width="30.1796875" customWidth="1"/>
    <col min="2" max="5" width="16.7265625" customWidth="1"/>
    <col min="6" max="6" width="95.7265625" customWidth="1"/>
  </cols>
  <sheetData>
    <row r="1" spans="1:6" x14ac:dyDescent="0.35">
      <c r="A1" t="s">
        <v>65</v>
      </c>
      <c r="B1" s="4">
        <v>45922</v>
      </c>
      <c r="D1" s="1" t="s">
        <v>34</v>
      </c>
      <c r="E1" t="s">
        <v>66</v>
      </c>
    </row>
    <row r="3" spans="1:6" x14ac:dyDescent="0.35">
      <c r="B3" s="123" t="s">
        <v>79</v>
      </c>
      <c r="C3" s="124"/>
      <c r="D3" s="124"/>
      <c r="E3" s="125"/>
    </row>
    <row r="4" spans="1:6" x14ac:dyDescent="0.35">
      <c r="A4" s="3" t="s">
        <v>0</v>
      </c>
      <c r="B4" s="14" t="s">
        <v>211</v>
      </c>
      <c r="C4" s="3" t="s">
        <v>212</v>
      </c>
      <c r="D4" s="14" t="s">
        <v>24</v>
      </c>
      <c r="E4" s="3" t="s">
        <v>25</v>
      </c>
      <c r="F4" s="3" t="s">
        <v>17</v>
      </c>
    </row>
    <row r="5" spans="1:6" x14ac:dyDescent="0.35">
      <c r="A5" s="5" t="s">
        <v>18</v>
      </c>
      <c r="B5" s="16" t="s">
        <v>19</v>
      </c>
      <c r="C5" s="6" t="s">
        <v>19</v>
      </c>
      <c r="D5" s="16" t="s">
        <v>19</v>
      </c>
      <c r="E5" s="6" t="s">
        <v>19</v>
      </c>
      <c r="F5" s="6" t="s">
        <v>33</v>
      </c>
    </row>
    <row r="6" spans="1:6" x14ac:dyDescent="0.35">
      <c r="A6" s="5" t="s">
        <v>20</v>
      </c>
      <c r="B6" s="16" t="s">
        <v>21</v>
      </c>
      <c r="C6" s="6" t="s">
        <v>21</v>
      </c>
      <c r="D6" s="16" t="s">
        <v>21</v>
      </c>
      <c r="E6" s="6" t="s">
        <v>21</v>
      </c>
      <c r="F6" s="6" t="s">
        <v>42</v>
      </c>
    </row>
    <row r="7" spans="1:6" x14ac:dyDescent="0.35">
      <c r="A7" s="63" t="s">
        <v>162</v>
      </c>
      <c r="B7" s="71">
        <v>1200</v>
      </c>
      <c r="C7" s="71">
        <v>1600</v>
      </c>
      <c r="D7" s="71">
        <v>2400</v>
      </c>
      <c r="E7" s="71">
        <v>4500</v>
      </c>
      <c r="F7" s="5" t="s">
        <v>35</v>
      </c>
    </row>
    <row r="8" spans="1:6" x14ac:dyDescent="0.35">
      <c r="A8" s="5" t="s">
        <v>26</v>
      </c>
      <c r="B8" s="16">
        <v>32</v>
      </c>
      <c r="C8" s="6">
        <v>40</v>
      </c>
      <c r="D8" s="16">
        <v>64</v>
      </c>
      <c r="E8" s="6">
        <v>120</v>
      </c>
      <c r="F8" s="5" t="s">
        <v>36</v>
      </c>
    </row>
    <row r="9" spans="1:6" x14ac:dyDescent="0.35">
      <c r="A9" s="5" t="s">
        <v>27</v>
      </c>
      <c r="B9" s="16">
        <v>64</v>
      </c>
      <c r="C9" s="6">
        <v>80</v>
      </c>
      <c r="D9" s="16">
        <v>128</v>
      </c>
      <c r="E9" s="6">
        <v>240</v>
      </c>
      <c r="F9" s="5" t="s">
        <v>37</v>
      </c>
    </row>
    <row r="10" spans="1:6" x14ac:dyDescent="0.35">
      <c r="A10" s="5" t="s">
        <v>28</v>
      </c>
      <c r="B10" s="25">
        <v>2.5</v>
      </c>
      <c r="C10" s="26">
        <v>2.5</v>
      </c>
      <c r="D10" s="25">
        <v>2.5</v>
      </c>
      <c r="E10" s="26">
        <v>2.1</v>
      </c>
      <c r="F10" s="5" t="s">
        <v>38</v>
      </c>
    </row>
    <row r="11" spans="1:6" x14ac:dyDescent="0.35">
      <c r="A11" s="5" t="s">
        <v>29</v>
      </c>
      <c r="B11" s="25">
        <v>3.3</v>
      </c>
      <c r="C11" s="26">
        <v>3.5</v>
      </c>
      <c r="D11" s="25">
        <v>3.9</v>
      </c>
      <c r="E11" s="26">
        <v>3.9</v>
      </c>
      <c r="F11" s="5" t="s">
        <v>39</v>
      </c>
    </row>
    <row r="12" spans="1:6" x14ac:dyDescent="0.35">
      <c r="A12" s="5" t="s">
        <v>10</v>
      </c>
      <c r="B12" s="27">
        <v>250</v>
      </c>
      <c r="C12" s="28">
        <v>400</v>
      </c>
      <c r="D12" s="27">
        <v>350</v>
      </c>
      <c r="E12" s="28">
        <v>500</v>
      </c>
      <c r="F12" s="5" t="s">
        <v>40</v>
      </c>
    </row>
    <row r="13" spans="1:6" x14ac:dyDescent="0.35">
      <c r="A13" s="5" t="s">
        <v>51</v>
      </c>
      <c r="B13" s="29">
        <v>1.5</v>
      </c>
      <c r="C13" s="29">
        <v>1.5</v>
      </c>
      <c r="D13" s="29">
        <v>1.5</v>
      </c>
      <c r="E13" s="29">
        <v>1.5</v>
      </c>
      <c r="F13" s="5" t="s">
        <v>60</v>
      </c>
    </row>
    <row r="14" spans="1:6" x14ac:dyDescent="0.35">
      <c r="A14" s="5" t="s">
        <v>30</v>
      </c>
      <c r="B14" s="16" t="s">
        <v>31</v>
      </c>
      <c r="C14" s="6" t="s">
        <v>31</v>
      </c>
      <c r="D14" s="16" t="s">
        <v>31</v>
      </c>
      <c r="E14" s="6" t="s">
        <v>31</v>
      </c>
      <c r="F14" s="6" t="s">
        <v>41</v>
      </c>
    </row>
    <row r="15" spans="1:6" x14ac:dyDescent="0.35">
      <c r="A15" s="5" t="s">
        <v>32</v>
      </c>
      <c r="B15" s="30">
        <v>85</v>
      </c>
      <c r="C15" s="31">
        <v>85</v>
      </c>
      <c r="D15" s="30">
        <v>81</v>
      </c>
      <c r="E15" s="31">
        <v>80</v>
      </c>
      <c r="F15" s="5" t="s">
        <v>43</v>
      </c>
    </row>
    <row r="16" spans="1:6" x14ac:dyDescent="0.35">
      <c r="A16" s="5" t="s">
        <v>63</v>
      </c>
      <c r="B16" s="32">
        <v>100</v>
      </c>
      <c r="C16" s="32">
        <v>100</v>
      </c>
      <c r="D16" s="32">
        <v>100</v>
      </c>
      <c r="E16" s="32">
        <v>100</v>
      </c>
      <c r="F16" s="5" t="s">
        <v>44</v>
      </c>
    </row>
    <row r="17" spans="1:6" x14ac:dyDescent="0.35">
      <c r="B17" s="15"/>
      <c r="D17" s="15"/>
    </row>
    <row r="18" spans="1:6" x14ac:dyDescent="0.35">
      <c r="A18" s="2" t="s">
        <v>64</v>
      </c>
      <c r="B18" s="15"/>
      <c r="D18" s="15"/>
    </row>
    <row r="19" spans="1:6" x14ac:dyDescent="0.35">
      <c r="A19" s="5" t="s">
        <v>53</v>
      </c>
      <c r="B19" s="33" t="s">
        <v>15</v>
      </c>
      <c r="C19" s="33" t="s">
        <v>15</v>
      </c>
      <c r="D19" s="33" t="s">
        <v>15</v>
      </c>
      <c r="E19" s="33" t="s">
        <v>15</v>
      </c>
      <c r="F19" s="5" t="s">
        <v>67</v>
      </c>
    </row>
    <row r="20" spans="1:6" x14ac:dyDescent="0.35">
      <c r="A20" s="5" t="s">
        <v>52</v>
      </c>
      <c r="B20" s="34">
        <v>0.7</v>
      </c>
      <c r="C20" s="34">
        <v>0.7</v>
      </c>
      <c r="D20" s="34">
        <v>0.7</v>
      </c>
      <c r="E20" s="34">
        <v>0.7</v>
      </c>
      <c r="F20" s="5" t="s">
        <v>56</v>
      </c>
    </row>
    <row r="21" spans="1:6" x14ac:dyDescent="0.35">
      <c r="A21" s="5" t="s">
        <v>45</v>
      </c>
      <c r="B21" s="34">
        <v>0.5</v>
      </c>
      <c r="C21" s="34">
        <v>0.5</v>
      </c>
      <c r="D21" s="34">
        <v>0.5</v>
      </c>
      <c r="E21" s="34">
        <v>0.5</v>
      </c>
      <c r="F21" s="5" t="s">
        <v>68</v>
      </c>
    </row>
    <row r="22" spans="1:6" x14ac:dyDescent="0.35">
      <c r="A22" s="5" t="s">
        <v>46</v>
      </c>
      <c r="B22" s="17">
        <f>B21*B12</f>
        <v>125</v>
      </c>
      <c r="C22" s="7">
        <f>C21*C12</f>
        <v>200</v>
      </c>
      <c r="D22" s="17">
        <f>D21*D12</f>
        <v>175</v>
      </c>
      <c r="E22" s="7">
        <f>E21*E12</f>
        <v>250</v>
      </c>
      <c r="F22" s="5"/>
    </row>
    <row r="23" spans="1:6" x14ac:dyDescent="0.35">
      <c r="A23" s="5" t="s">
        <v>47</v>
      </c>
      <c r="B23" s="17">
        <f xml:space="preserve"> (1-B21)*B12</f>
        <v>125</v>
      </c>
      <c r="C23" s="7">
        <f xml:space="preserve"> (1-C21)*C12</f>
        <v>200</v>
      </c>
      <c r="D23" s="17">
        <f xml:space="preserve"> (1-D21)*D12</f>
        <v>175</v>
      </c>
      <c r="E23" s="7">
        <f xml:space="preserve"> (1-E21)*E12</f>
        <v>250</v>
      </c>
      <c r="F23" s="5"/>
    </row>
    <row r="24" spans="1:6" x14ac:dyDescent="0.35">
      <c r="A24" s="5" t="s">
        <v>48</v>
      </c>
      <c r="B24" s="34">
        <v>1</v>
      </c>
      <c r="C24" s="34">
        <v>1</v>
      </c>
      <c r="D24" s="34">
        <v>1</v>
      </c>
      <c r="E24" s="34">
        <v>1</v>
      </c>
      <c r="F24" s="5" t="s">
        <v>69</v>
      </c>
    </row>
    <row r="25" spans="1:6" x14ac:dyDescent="0.35">
      <c r="A25" s="5" t="s">
        <v>49</v>
      </c>
      <c r="B25" s="17">
        <f>(1+B24)*B23</f>
        <v>250</v>
      </c>
      <c r="C25" s="7">
        <f>(1+C24)*C23</f>
        <v>400</v>
      </c>
      <c r="D25" s="17">
        <f>(1+D24)*D23</f>
        <v>350</v>
      </c>
      <c r="E25" s="7">
        <f>(1+E24)*E23</f>
        <v>500</v>
      </c>
      <c r="F25" s="5"/>
    </row>
    <row r="26" spans="1:6" x14ac:dyDescent="0.35">
      <c r="A26" s="5" t="s">
        <v>55</v>
      </c>
      <c r="B26" s="18">
        <v>22.22</v>
      </c>
      <c r="C26" s="8">
        <f xml:space="preserve"> C22/(C10*C13^2)</f>
        <v>35.555555555555557</v>
      </c>
      <c r="D26" s="18">
        <f xml:space="preserve"> D22/(D10*D13^2)</f>
        <v>31.111111111111111</v>
      </c>
      <c r="E26" s="8">
        <f xml:space="preserve"> E22/(E10*E13^2)</f>
        <v>52.910052910052904</v>
      </c>
      <c r="F26" s="5" t="s">
        <v>50</v>
      </c>
    </row>
    <row r="27" spans="1:6" x14ac:dyDescent="0.35">
      <c r="A27" s="5" t="s">
        <v>54</v>
      </c>
      <c r="B27" s="34">
        <v>0.95</v>
      </c>
      <c r="C27" s="34">
        <v>0.95</v>
      </c>
      <c r="D27" s="34">
        <v>0.95</v>
      </c>
      <c r="E27" s="34">
        <v>0.95</v>
      </c>
      <c r="F27" s="5"/>
    </row>
    <row r="28" spans="1:6" x14ac:dyDescent="0.35">
      <c r="A28" s="5" t="s">
        <v>57</v>
      </c>
      <c r="B28" s="18">
        <f>B26*(B27/B20)</f>
        <v>30.155714285714286</v>
      </c>
      <c r="C28" s="8">
        <f>C26*(C27/C20)</f>
        <v>48.25396825396826</v>
      </c>
      <c r="D28" s="18">
        <f>D26*(D27/D20)</f>
        <v>42.222222222222221</v>
      </c>
      <c r="E28" s="8">
        <f>E26*(E27/E20)</f>
        <v>71.806500377928941</v>
      </c>
      <c r="F28" s="5" t="s">
        <v>70</v>
      </c>
    </row>
    <row r="29" spans="1:6" x14ac:dyDescent="0.35">
      <c r="A29" s="5" t="s">
        <v>58</v>
      </c>
      <c r="B29" s="17">
        <f>B28*B10*B13^2</f>
        <v>169.62589285714287</v>
      </c>
      <c r="C29" s="7">
        <f>C28*C10*C13^2</f>
        <v>271.42857142857144</v>
      </c>
      <c r="D29" s="17">
        <f>D28*D10*D13^2</f>
        <v>237.5</v>
      </c>
      <c r="E29" s="7">
        <f>E28*E10*E13^2</f>
        <v>339.28571428571428</v>
      </c>
      <c r="F29" s="5"/>
    </row>
    <row r="30" spans="1:6" x14ac:dyDescent="0.35">
      <c r="A30" s="5" t="s">
        <v>59</v>
      </c>
      <c r="B30" s="17">
        <f>B25+B29</f>
        <v>419.62589285714284</v>
      </c>
      <c r="C30" s="7">
        <f>C25+C29</f>
        <v>671.42857142857144</v>
      </c>
      <c r="D30" s="17">
        <f>D25+D29</f>
        <v>587.5</v>
      </c>
      <c r="E30" s="7">
        <f>E25+E29</f>
        <v>839.28571428571422</v>
      </c>
      <c r="F30" s="5"/>
    </row>
    <row r="31" spans="1:6" x14ac:dyDescent="0.35">
      <c r="A31" s="5" t="s">
        <v>61</v>
      </c>
      <c r="B31" s="34">
        <v>0</v>
      </c>
      <c r="C31" s="34">
        <v>0</v>
      </c>
      <c r="D31" s="34">
        <v>0</v>
      </c>
      <c r="E31" s="34">
        <v>0</v>
      </c>
      <c r="F31" s="5" t="s">
        <v>71</v>
      </c>
    </row>
    <row r="32" spans="1:6" x14ac:dyDescent="0.35">
      <c r="A32" s="5" t="s">
        <v>62</v>
      </c>
      <c r="B32" s="17">
        <f>B30*(1+B31)</f>
        <v>419.62589285714284</v>
      </c>
      <c r="C32" s="7">
        <f>C30*(1+C31)</f>
        <v>671.42857142857144</v>
      </c>
      <c r="D32" s="17">
        <f>D30*(1+D31)</f>
        <v>587.5</v>
      </c>
      <c r="E32" s="7">
        <f>E30*(1+E31)</f>
        <v>839.28571428571422</v>
      </c>
      <c r="F32" s="5"/>
    </row>
    <row r="33" spans="1:6" x14ac:dyDescent="0.35">
      <c r="B33" s="15"/>
      <c r="D33" s="15"/>
    </row>
    <row r="34" spans="1:6" x14ac:dyDescent="0.35">
      <c r="A34" s="2" t="s">
        <v>81</v>
      </c>
      <c r="B34" s="15" t="s">
        <v>22</v>
      </c>
      <c r="C34" s="15" t="s">
        <v>23</v>
      </c>
      <c r="D34" s="15" t="s">
        <v>24</v>
      </c>
      <c r="E34" s="15" t="s">
        <v>25</v>
      </c>
    </row>
    <row r="35" spans="1:6" x14ac:dyDescent="0.35">
      <c r="A35" s="9" t="s">
        <v>2</v>
      </c>
      <c r="B35" s="19">
        <v>50</v>
      </c>
      <c r="C35" s="9">
        <v>3</v>
      </c>
      <c r="D35" s="19">
        <f>D8</f>
        <v>64</v>
      </c>
      <c r="E35" s="9">
        <f>E8</f>
        <v>120</v>
      </c>
      <c r="F35" s="9" t="s">
        <v>3</v>
      </c>
    </row>
    <row r="36" spans="1:6" x14ac:dyDescent="0.35">
      <c r="A36" s="9" t="s">
        <v>4</v>
      </c>
      <c r="B36" s="19">
        <f>B10*1000</f>
        <v>2500</v>
      </c>
      <c r="C36" s="9">
        <f>C10*1000</f>
        <v>2500</v>
      </c>
      <c r="D36" s="19">
        <f>D10*1000</f>
        <v>2500</v>
      </c>
      <c r="E36" s="9">
        <f>E10*1000</f>
        <v>2100</v>
      </c>
      <c r="F36" s="9" t="s">
        <v>5</v>
      </c>
    </row>
    <row r="37" spans="1:6" ht="29" x14ac:dyDescent="0.35">
      <c r="A37" s="9" t="s">
        <v>6</v>
      </c>
      <c r="B37" s="20">
        <f>B26</f>
        <v>22.22</v>
      </c>
      <c r="C37" s="10">
        <f>C26</f>
        <v>35.555555555555557</v>
      </c>
      <c r="D37" s="20">
        <f>D26</f>
        <v>31.111111111111111</v>
      </c>
      <c r="E37" s="10">
        <f>E26</f>
        <v>52.910052910052904</v>
      </c>
      <c r="F37" s="9" t="s">
        <v>7</v>
      </c>
    </row>
    <row r="38" spans="1:6" x14ac:dyDescent="0.35">
      <c r="A38" s="9" t="s">
        <v>8</v>
      </c>
      <c r="B38" s="21">
        <f>B32</f>
        <v>419.62589285714284</v>
      </c>
      <c r="C38" s="11">
        <f>C32</f>
        <v>671.42857142857144</v>
      </c>
      <c r="D38" s="21">
        <f>D32</f>
        <v>587.5</v>
      </c>
      <c r="E38" s="11">
        <f>E32</f>
        <v>839.28571428571422</v>
      </c>
      <c r="F38" s="9" t="s">
        <v>9</v>
      </c>
    </row>
    <row r="39" spans="1:6" x14ac:dyDescent="0.35">
      <c r="A39" s="9" t="s">
        <v>10</v>
      </c>
      <c r="B39" s="22">
        <f>B12</f>
        <v>250</v>
      </c>
      <c r="C39" s="12">
        <f>C12</f>
        <v>400</v>
      </c>
      <c r="D39" s="22">
        <f>D12</f>
        <v>350</v>
      </c>
      <c r="E39" s="12">
        <f>E12</f>
        <v>500</v>
      </c>
      <c r="F39" s="9" t="s">
        <v>11</v>
      </c>
    </row>
    <row r="40" spans="1:6" ht="29" x14ac:dyDescent="0.35">
      <c r="A40" s="9" t="s">
        <v>12</v>
      </c>
      <c r="B40" s="23">
        <f>B20</f>
        <v>0.7</v>
      </c>
      <c r="C40" s="13">
        <f>C20</f>
        <v>0.7</v>
      </c>
      <c r="D40" s="23">
        <f>D20</f>
        <v>0.7</v>
      </c>
      <c r="E40" s="13">
        <f>E20</f>
        <v>0.7</v>
      </c>
      <c r="F40" s="9" t="s">
        <v>13</v>
      </c>
    </row>
    <row r="41" spans="1:6" ht="29" x14ac:dyDescent="0.35">
      <c r="A41" s="9" t="s">
        <v>14</v>
      </c>
      <c r="B41" s="35">
        <f>B16</f>
        <v>100</v>
      </c>
      <c r="C41" s="36">
        <f>C16</f>
        <v>100</v>
      </c>
      <c r="D41" s="35">
        <f>D16</f>
        <v>100</v>
      </c>
      <c r="E41" s="36">
        <f>E16</f>
        <v>100</v>
      </c>
      <c r="F41" s="9" t="s">
        <v>16</v>
      </c>
    </row>
    <row r="43" spans="1:6" x14ac:dyDescent="0.35">
      <c r="A43" s="95" t="s">
        <v>196</v>
      </c>
      <c r="B43" s="14" t="s">
        <v>22</v>
      </c>
      <c r="C43" s="3" t="s">
        <v>23</v>
      </c>
      <c r="D43" s="14" t="s">
        <v>24</v>
      </c>
      <c r="E43" s="3" t="s">
        <v>25</v>
      </c>
    </row>
    <row r="44" spans="1:6" x14ac:dyDescent="0.35">
      <c r="A44" s="96" t="s">
        <v>197</v>
      </c>
      <c r="B44" s="99">
        <v>2.5</v>
      </c>
      <c r="C44" s="99">
        <f>C10</f>
        <v>2.5</v>
      </c>
      <c r="D44" s="99">
        <f>D10</f>
        <v>2.5</v>
      </c>
      <c r="E44" s="99">
        <f>E10</f>
        <v>2.1</v>
      </c>
      <c r="F44" s="97" t="s">
        <v>198</v>
      </c>
    </row>
    <row r="45" spans="1:6" x14ac:dyDescent="0.35">
      <c r="A45" s="96" t="s">
        <v>199</v>
      </c>
      <c r="B45" s="103">
        <f>B13</f>
        <v>1.5</v>
      </c>
      <c r="C45" s="103">
        <f>C13</f>
        <v>1.5</v>
      </c>
      <c r="D45" s="103">
        <f>D13</f>
        <v>1.5</v>
      </c>
      <c r="E45" s="103">
        <f>E13</f>
        <v>1.5</v>
      </c>
      <c r="F45" s="97" t="s">
        <v>200</v>
      </c>
    </row>
    <row r="46" spans="1:6" x14ac:dyDescent="0.35">
      <c r="A46" s="98" t="s">
        <v>201</v>
      </c>
      <c r="B46" s="100">
        <f>ROUND(B44*0.9,1)</f>
        <v>2.2999999999999998</v>
      </c>
      <c r="C46" s="100">
        <f>ROUND(C44*0.9,1)</f>
        <v>2.2999999999999998</v>
      </c>
      <c r="D46" s="100">
        <f>ROUND(D44*0.9,1)</f>
        <v>2.2999999999999998</v>
      </c>
      <c r="E46" s="100">
        <f>ROUND(E44*0.9,1)</f>
        <v>1.9</v>
      </c>
      <c r="F46" s="5"/>
    </row>
    <row r="47" spans="1:6" x14ac:dyDescent="0.35">
      <c r="A47" s="98" t="s">
        <v>202</v>
      </c>
      <c r="B47" s="104">
        <f>B45-0.2</f>
        <v>1.3</v>
      </c>
      <c r="C47" s="104">
        <f>C45-0.2</f>
        <v>1.3</v>
      </c>
      <c r="D47" s="104">
        <f>D45-0.2</f>
        <v>1.3</v>
      </c>
      <c r="E47" s="104">
        <f>E45-0.2</f>
        <v>1.3</v>
      </c>
      <c r="F47" s="5"/>
    </row>
    <row r="48" spans="1:6" x14ac:dyDescent="0.35">
      <c r="A48" s="96" t="s">
        <v>203</v>
      </c>
      <c r="B48" s="99">
        <f>ROUND(B46*0.8,1)</f>
        <v>1.8</v>
      </c>
      <c r="C48" s="99">
        <f>ROUND(C46*0.8,1)</f>
        <v>1.8</v>
      </c>
      <c r="D48" s="99">
        <f>ROUND(D46*0.8,1)</f>
        <v>1.8</v>
      </c>
      <c r="E48" s="99">
        <f>ROUND(E46*0.8,1)</f>
        <v>1.5</v>
      </c>
      <c r="F48" s="97"/>
    </row>
    <row r="49" spans="1:6" x14ac:dyDescent="0.35">
      <c r="A49" s="97" t="s">
        <v>204</v>
      </c>
      <c r="B49" s="103">
        <f>B47-0.2</f>
        <v>1.1000000000000001</v>
      </c>
      <c r="C49" s="103">
        <f>C47-0.2</f>
        <v>1.1000000000000001</v>
      </c>
      <c r="D49" s="103">
        <f>D47-0.2</f>
        <v>1.1000000000000001</v>
      </c>
      <c r="E49" s="103">
        <f>E47-0.2</f>
        <v>1.1000000000000001</v>
      </c>
      <c r="F49" s="97"/>
    </row>
    <row r="50" spans="1:6" x14ac:dyDescent="0.35">
      <c r="A50" s="5" t="s">
        <v>205</v>
      </c>
      <c r="B50" s="100">
        <f>ROUND(B48*0.8,1)</f>
        <v>1.4</v>
      </c>
      <c r="C50" s="100">
        <f>ROUND(C48*0.8,1)</f>
        <v>1.4</v>
      </c>
      <c r="D50" s="100">
        <f>ROUND(D48*0.8,1)</f>
        <v>1.4</v>
      </c>
      <c r="E50" s="100">
        <f>ROUND(E48*0.8,1)</f>
        <v>1.2</v>
      </c>
      <c r="F50" s="5"/>
    </row>
    <row r="51" spans="1:6" x14ac:dyDescent="0.35">
      <c r="A51" s="5" t="s">
        <v>206</v>
      </c>
      <c r="B51" s="104">
        <f>B49-0.2</f>
        <v>0.90000000000000013</v>
      </c>
      <c r="C51" s="104">
        <f>C49-0.2</f>
        <v>0.90000000000000013</v>
      </c>
      <c r="D51" s="104">
        <f>D49-0.2</f>
        <v>0.90000000000000013</v>
      </c>
      <c r="E51" s="104">
        <f>E49-0.2</f>
        <v>0.90000000000000013</v>
      </c>
      <c r="F51" s="5" t="s">
        <v>207</v>
      </c>
    </row>
  </sheetData>
  <mergeCells count="1">
    <mergeCell ref="B3:E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22B5-78FD-41CE-8EBF-AB9D06203F32}">
  <dimension ref="A1:E50"/>
  <sheetViews>
    <sheetView workbookViewId="0">
      <selection activeCell="D10" sqref="D10"/>
    </sheetView>
  </sheetViews>
  <sheetFormatPr defaultRowHeight="14.5" x14ac:dyDescent="0.35"/>
  <cols>
    <col min="1" max="1" width="30.1796875" customWidth="1"/>
    <col min="2" max="4" width="16.7265625" customWidth="1"/>
    <col min="5" max="5" width="95.7265625" customWidth="1"/>
  </cols>
  <sheetData>
    <row r="1" spans="1:5" x14ac:dyDescent="0.35">
      <c r="A1" t="s">
        <v>77</v>
      </c>
      <c r="B1" s="4">
        <v>45922</v>
      </c>
      <c r="D1" s="1" t="s">
        <v>34</v>
      </c>
    </row>
    <row r="3" spans="1:5" x14ac:dyDescent="0.35">
      <c r="B3" s="126" t="s">
        <v>78</v>
      </c>
      <c r="C3" s="126"/>
      <c r="D3" s="126"/>
    </row>
    <row r="4" spans="1:5" x14ac:dyDescent="0.35">
      <c r="A4" s="3" t="s">
        <v>0</v>
      </c>
      <c r="B4" s="14" t="s">
        <v>213</v>
      </c>
      <c r="C4" s="72" t="s">
        <v>214</v>
      </c>
      <c r="D4" s="14" t="s">
        <v>215</v>
      </c>
      <c r="E4" s="3" t="s">
        <v>17</v>
      </c>
    </row>
    <row r="5" spans="1:5" x14ac:dyDescent="0.35">
      <c r="A5" s="5" t="s">
        <v>18</v>
      </c>
      <c r="B5" s="16" t="s">
        <v>19</v>
      </c>
      <c r="C5" s="73" t="s">
        <v>19</v>
      </c>
      <c r="D5" s="16" t="s">
        <v>19</v>
      </c>
      <c r="E5" s="6" t="s">
        <v>33</v>
      </c>
    </row>
    <row r="6" spans="1:5" x14ac:dyDescent="0.35">
      <c r="A6" s="5" t="s">
        <v>20</v>
      </c>
      <c r="B6" s="16" t="s">
        <v>72</v>
      </c>
      <c r="C6" s="73" t="s">
        <v>72</v>
      </c>
      <c r="D6" s="16" t="s">
        <v>72</v>
      </c>
      <c r="E6" s="6" t="s">
        <v>42</v>
      </c>
    </row>
    <row r="7" spans="1:5" x14ac:dyDescent="0.35">
      <c r="A7" s="5" t="s">
        <v>162</v>
      </c>
      <c r="B7" s="71">
        <v>15000</v>
      </c>
      <c r="C7" s="71">
        <v>20000</v>
      </c>
      <c r="D7" s="71">
        <v>40000</v>
      </c>
      <c r="E7" s="5" t="s">
        <v>35</v>
      </c>
    </row>
    <row r="8" spans="1:5" x14ac:dyDescent="0.35">
      <c r="A8" s="5" t="s">
        <v>26</v>
      </c>
      <c r="B8" s="84">
        <v>14000</v>
      </c>
      <c r="C8" s="84">
        <v>16896</v>
      </c>
      <c r="D8" s="84">
        <v>30000</v>
      </c>
      <c r="E8" s="5" t="s">
        <v>36</v>
      </c>
    </row>
    <row r="9" spans="1:5" x14ac:dyDescent="0.35">
      <c r="A9" s="5" t="s">
        <v>28</v>
      </c>
      <c r="B9" s="85">
        <v>1.8</v>
      </c>
      <c r="C9" s="85">
        <v>2</v>
      </c>
      <c r="D9" s="85">
        <v>2</v>
      </c>
      <c r="E9" s="5" t="s">
        <v>38</v>
      </c>
    </row>
    <row r="10" spans="1:5" x14ac:dyDescent="0.35">
      <c r="A10" s="5" t="s">
        <v>73</v>
      </c>
      <c r="B10" s="86">
        <f>C10*B8/C8</f>
        <v>2900.094696969697</v>
      </c>
      <c r="C10" s="86">
        <v>3500</v>
      </c>
      <c r="D10" s="86">
        <f>C10*D8/C8</f>
        <v>6214.488636363636</v>
      </c>
      <c r="E10" s="5" t="s">
        <v>80</v>
      </c>
    </row>
    <row r="11" spans="1:5" x14ac:dyDescent="0.35">
      <c r="A11" s="5" t="s">
        <v>10</v>
      </c>
      <c r="B11" s="87">
        <v>600</v>
      </c>
      <c r="C11" s="87">
        <v>800</v>
      </c>
      <c r="D11" s="87">
        <v>1000</v>
      </c>
      <c r="E11" s="5" t="s">
        <v>40</v>
      </c>
    </row>
    <row r="12" spans="1:5" x14ac:dyDescent="0.35">
      <c r="A12" s="5" t="s">
        <v>51</v>
      </c>
      <c r="B12" s="29">
        <v>1</v>
      </c>
      <c r="C12" s="29">
        <v>1</v>
      </c>
      <c r="D12" s="29">
        <v>1</v>
      </c>
      <c r="E12" s="5" t="s">
        <v>74</v>
      </c>
    </row>
    <row r="13" spans="1:5" x14ac:dyDescent="0.35">
      <c r="A13" s="5" t="s">
        <v>30</v>
      </c>
      <c r="B13" s="16" t="s">
        <v>76</v>
      </c>
      <c r="C13" s="73" t="s">
        <v>76</v>
      </c>
      <c r="D13" s="16" t="s">
        <v>76</v>
      </c>
      <c r="E13" s="6" t="s">
        <v>41</v>
      </c>
    </row>
    <row r="14" spans="1:5" x14ac:dyDescent="0.35">
      <c r="A14" s="5" t="s">
        <v>32</v>
      </c>
      <c r="B14" s="30">
        <v>85</v>
      </c>
      <c r="C14" s="74">
        <v>85</v>
      </c>
      <c r="D14" s="30">
        <v>85</v>
      </c>
      <c r="E14" s="5" t="s">
        <v>43</v>
      </c>
    </row>
    <row r="15" spans="1:5" x14ac:dyDescent="0.35">
      <c r="A15" s="5" t="s">
        <v>63</v>
      </c>
      <c r="B15" s="32">
        <v>95</v>
      </c>
      <c r="C15" s="32">
        <v>95</v>
      </c>
      <c r="D15" s="32">
        <v>95</v>
      </c>
      <c r="E15" s="5" t="s">
        <v>75</v>
      </c>
    </row>
    <row r="16" spans="1:5" x14ac:dyDescent="0.35">
      <c r="B16" s="15"/>
      <c r="C16" s="75"/>
      <c r="D16" s="15"/>
    </row>
    <row r="17" spans="1:5" x14ac:dyDescent="0.35">
      <c r="A17" s="2" t="s">
        <v>64</v>
      </c>
      <c r="B17" s="15"/>
      <c r="C17" s="75"/>
      <c r="D17" s="15"/>
    </row>
    <row r="18" spans="1:5" x14ac:dyDescent="0.35">
      <c r="A18" s="5" t="s">
        <v>53</v>
      </c>
      <c r="B18" s="33" t="s">
        <v>15</v>
      </c>
      <c r="C18" s="33" t="s">
        <v>15</v>
      </c>
      <c r="D18" s="33" t="s">
        <v>15</v>
      </c>
      <c r="E18" s="5" t="s">
        <v>67</v>
      </c>
    </row>
    <row r="19" spans="1:5" x14ac:dyDescent="0.35">
      <c r="A19" s="5" t="s">
        <v>52</v>
      </c>
      <c r="B19" s="34">
        <v>0.75</v>
      </c>
      <c r="C19" s="34">
        <v>0.75</v>
      </c>
      <c r="D19" s="34">
        <v>0.75</v>
      </c>
      <c r="E19" s="5" t="s">
        <v>56</v>
      </c>
    </row>
    <row r="20" spans="1:5" x14ac:dyDescent="0.35">
      <c r="A20" s="5" t="s">
        <v>45</v>
      </c>
      <c r="B20" s="34">
        <v>0.5</v>
      </c>
      <c r="C20" s="34">
        <v>0.5</v>
      </c>
      <c r="D20" s="34">
        <v>0.5</v>
      </c>
      <c r="E20" s="5" t="s">
        <v>68</v>
      </c>
    </row>
    <row r="21" spans="1:5" x14ac:dyDescent="0.35">
      <c r="A21" s="5" t="s">
        <v>46</v>
      </c>
      <c r="B21" s="17">
        <f>B20*B11</f>
        <v>300</v>
      </c>
      <c r="C21" s="76">
        <f>C20*C11</f>
        <v>400</v>
      </c>
      <c r="D21" s="17">
        <f>D20*D11</f>
        <v>500</v>
      </c>
      <c r="E21" s="5"/>
    </row>
    <row r="22" spans="1:5" x14ac:dyDescent="0.35">
      <c r="A22" s="5" t="s">
        <v>47</v>
      </c>
      <c r="B22" s="17">
        <f xml:space="preserve"> (1-B20)*B11</f>
        <v>300</v>
      </c>
      <c r="C22" s="76">
        <f xml:space="preserve"> (1-C20)*C11</f>
        <v>400</v>
      </c>
      <c r="D22" s="17">
        <f xml:space="preserve"> (1-D20)*D11</f>
        <v>500</v>
      </c>
      <c r="E22" s="5"/>
    </row>
    <row r="23" spans="1:5" x14ac:dyDescent="0.35">
      <c r="A23" s="5" t="s">
        <v>48</v>
      </c>
      <c r="B23" s="34">
        <v>1</v>
      </c>
      <c r="C23" s="34">
        <v>1</v>
      </c>
      <c r="D23" s="34">
        <v>1</v>
      </c>
      <c r="E23" s="5" t="s">
        <v>69</v>
      </c>
    </row>
    <row r="24" spans="1:5" x14ac:dyDescent="0.35">
      <c r="A24" s="5" t="s">
        <v>49</v>
      </c>
      <c r="B24" s="17">
        <f>(1+B23)*B22</f>
        <v>600</v>
      </c>
      <c r="C24" s="76">
        <f>(1+C23)*C22</f>
        <v>800</v>
      </c>
      <c r="D24" s="17">
        <f>(1+D23)*D22</f>
        <v>1000</v>
      </c>
      <c r="E24" s="5"/>
    </row>
    <row r="25" spans="1:5" x14ac:dyDescent="0.35">
      <c r="A25" s="5" t="s">
        <v>55</v>
      </c>
      <c r="B25" s="8">
        <v>166.67</v>
      </c>
      <c r="C25" s="77">
        <v>200</v>
      </c>
      <c r="D25" s="8">
        <v>250</v>
      </c>
      <c r="E25" s="5" t="s">
        <v>50</v>
      </c>
    </row>
    <row r="26" spans="1:5" x14ac:dyDescent="0.35">
      <c r="A26" s="5" t="s">
        <v>54</v>
      </c>
      <c r="B26" s="34">
        <v>0.95</v>
      </c>
      <c r="C26" s="34">
        <v>0.95</v>
      </c>
      <c r="D26" s="34">
        <v>0.95</v>
      </c>
      <c r="E26" s="5"/>
    </row>
    <row r="27" spans="1:5" x14ac:dyDescent="0.35">
      <c r="A27" s="5" t="s">
        <v>57</v>
      </c>
      <c r="B27" s="18">
        <f>B25*(B26/B19)</f>
        <v>211.1153333333333</v>
      </c>
      <c r="C27" s="77">
        <f>C25*(C26/C19)</f>
        <v>253.33333333333331</v>
      </c>
      <c r="D27" s="18">
        <f>D25*(D26/D19)</f>
        <v>316.66666666666663</v>
      </c>
      <c r="E27" s="5" t="s">
        <v>70</v>
      </c>
    </row>
    <row r="28" spans="1:5" x14ac:dyDescent="0.35">
      <c r="A28" s="5" t="s">
        <v>58</v>
      </c>
      <c r="B28" s="17">
        <f>B27*B9*B12^2</f>
        <v>380.00759999999997</v>
      </c>
      <c r="C28" s="76">
        <f>C27*C9*C12^2</f>
        <v>506.66666666666663</v>
      </c>
      <c r="D28" s="17">
        <f>D27*D9*D12^2</f>
        <v>633.33333333333326</v>
      </c>
      <c r="E28" s="5"/>
    </row>
    <row r="29" spans="1:5" x14ac:dyDescent="0.35">
      <c r="A29" s="5" t="s">
        <v>59</v>
      </c>
      <c r="B29" s="17">
        <f>B24+B28</f>
        <v>980.00759999999991</v>
      </c>
      <c r="C29" s="76">
        <f>C24+C28</f>
        <v>1306.6666666666665</v>
      </c>
      <c r="D29" s="17">
        <f>D24+D28</f>
        <v>1633.3333333333333</v>
      </c>
      <c r="E29" s="5"/>
    </row>
    <row r="30" spans="1:5" x14ac:dyDescent="0.35">
      <c r="A30" s="5" t="s">
        <v>61</v>
      </c>
      <c r="B30" s="34">
        <v>0</v>
      </c>
      <c r="C30" s="34">
        <v>0</v>
      </c>
      <c r="D30" s="34">
        <v>0</v>
      </c>
      <c r="E30" s="5" t="s">
        <v>71</v>
      </c>
    </row>
    <row r="31" spans="1:5" x14ac:dyDescent="0.35">
      <c r="A31" s="5" t="s">
        <v>62</v>
      </c>
      <c r="B31" s="17">
        <f>B29*(1+B30)</f>
        <v>980.00759999999991</v>
      </c>
      <c r="C31" s="76">
        <f>C29*(1+C30)</f>
        <v>1306.6666666666665</v>
      </c>
      <c r="D31" s="17">
        <f>D29*(1+D30)</f>
        <v>1633.3333333333333</v>
      </c>
      <c r="E31" s="5"/>
    </row>
    <row r="32" spans="1:5" x14ac:dyDescent="0.35">
      <c r="B32" s="15"/>
      <c r="C32" s="75"/>
      <c r="D32" s="15"/>
    </row>
    <row r="33" spans="1:5" x14ac:dyDescent="0.35">
      <c r="A33" s="2" t="s">
        <v>1</v>
      </c>
      <c r="B33" s="15" t="str">
        <f>B4</f>
        <v>odoh</v>
      </c>
      <c r="C33" s="75" t="str">
        <f>C4</f>
        <v>brown</v>
      </c>
      <c r="D33" s="15" t="str">
        <f>D4</f>
        <v>Skattebo</v>
      </c>
    </row>
    <row r="34" spans="1:5" x14ac:dyDescent="0.35">
      <c r="A34" s="9" t="s">
        <v>2</v>
      </c>
      <c r="B34" s="19">
        <v>12000</v>
      </c>
      <c r="C34" s="78">
        <v>15000</v>
      </c>
      <c r="D34" s="19">
        <v>20000</v>
      </c>
      <c r="E34" s="9" t="s">
        <v>3</v>
      </c>
    </row>
    <row r="35" spans="1:5" x14ac:dyDescent="0.35">
      <c r="A35" s="9" t="s">
        <v>4</v>
      </c>
      <c r="B35" s="19">
        <f>B9*1000</f>
        <v>1800</v>
      </c>
      <c r="C35" s="78">
        <f>C9*1000</f>
        <v>2000</v>
      </c>
      <c r="D35" s="19">
        <f>D9*1000</f>
        <v>2000</v>
      </c>
      <c r="E35" s="9" t="s">
        <v>5</v>
      </c>
    </row>
    <row r="36" spans="1:5" ht="29" x14ac:dyDescent="0.35">
      <c r="A36" s="9" t="s">
        <v>6</v>
      </c>
      <c r="B36" s="20">
        <f>B25</f>
        <v>166.67</v>
      </c>
      <c r="C36" s="79">
        <f>C25</f>
        <v>200</v>
      </c>
      <c r="D36" s="20">
        <f>D25</f>
        <v>250</v>
      </c>
      <c r="E36" s="9" t="s">
        <v>7</v>
      </c>
    </row>
    <row r="37" spans="1:5" x14ac:dyDescent="0.35">
      <c r="A37" s="9" t="s">
        <v>8</v>
      </c>
      <c r="B37" s="21">
        <f>B31</f>
        <v>980.00759999999991</v>
      </c>
      <c r="C37" s="80">
        <f>C31</f>
        <v>1306.6666666666665</v>
      </c>
      <c r="D37" s="21">
        <f>D31</f>
        <v>1633.3333333333333</v>
      </c>
      <c r="E37" s="9" t="s">
        <v>9</v>
      </c>
    </row>
    <row r="38" spans="1:5" x14ac:dyDescent="0.35">
      <c r="A38" s="9" t="s">
        <v>10</v>
      </c>
      <c r="B38" s="22">
        <f>B11</f>
        <v>600</v>
      </c>
      <c r="C38" s="81">
        <f>C11</f>
        <v>800</v>
      </c>
      <c r="D38" s="22">
        <f>D11</f>
        <v>1000</v>
      </c>
      <c r="E38" s="9" t="s">
        <v>11</v>
      </c>
    </row>
    <row r="39" spans="1:5" ht="29" x14ac:dyDescent="0.35">
      <c r="A39" s="9" t="s">
        <v>12</v>
      </c>
      <c r="B39" s="23">
        <f>B19</f>
        <v>0.75</v>
      </c>
      <c r="C39" s="82">
        <f>C19</f>
        <v>0.75</v>
      </c>
      <c r="D39" s="23">
        <f>D19</f>
        <v>0.75</v>
      </c>
      <c r="E39" s="9" t="s">
        <v>13</v>
      </c>
    </row>
    <row r="40" spans="1:5" ht="29" x14ac:dyDescent="0.35">
      <c r="A40" s="9" t="s">
        <v>14</v>
      </c>
      <c r="B40" s="24">
        <f>B15</f>
        <v>95</v>
      </c>
      <c r="C40" s="83">
        <f>C15</f>
        <v>95</v>
      </c>
      <c r="D40" s="24">
        <f>D15</f>
        <v>95</v>
      </c>
      <c r="E40" s="9" t="s">
        <v>16</v>
      </c>
    </row>
    <row r="42" spans="1:5" x14ac:dyDescent="0.35">
      <c r="A42" s="95" t="s">
        <v>196</v>
      </c>
      <c r="B42" s="70" t="str">
        <f>B4</f>
        <v>odoh</v>
      </c>
      <c r="C42" s="70" t="str">
        <f>C4</f>
        <v>brown</v>
      </c>
      <c r="D42" s="70" t="str">
        <f>D4</f>
        <v>Skattebo</v>
      </c>
    </row>
    <row r="43" spans="1:5" x14ac:dyDescent="0.35">
      <c r="A43" s="96" t="s">
        <v>197</v>
      </c>
      <c r="B43" s="99">
        <v>1.8</v>
      </c>
      <c r="C43" s="99">
        <v>2</v>
      </c>
      <c r="D43" s="99">
        <v>2</v>
      </c>
      <c r="E43" s="97" t="s">
        <v>198</v>
      </c>
    </row>
    <row r="44" spans="1:5" x14ac:dyDescent="0.35">
      <c r="A44" s="96" t="s">
        <v>199</v>
      </c>
      <c r="B44" s="103">
        <f>B12</f>
        <v>1</v>
      </c>
      <c r="C44" s="103">
        <f>C12</f>
        <v>1</v>
      </c>
      <c r="D44" s="103">
        <f>D12</f>
        <v>1</v>
      </c>
      <c r="E44" s="97" t="s">
        <v>200</v>
      </c>
    </row>
    <row r="45" spans="1:5" x14ac:dyDescent="0.35">
      <c r="A45" s="98" t="s">
        <v>201</v>
      </c>
      <c r="B45" s="100">
        <f>ROUND(B43*0.9,1)</f>
        <v>1.6</v>
      </c>
      <c r="C45" s="100">
        <f>ROUND(C43*0.9,1)</f>
        <v>1.8</v>
      </c>
      <c r="D45" s="100">
        <f>ROUND(D43*0.9,1)</f>
        <v>1.8</v>
      </c>
      <c r="E45" s="5"/>
    </row>
    <row r="46" spans="1:5" x14ac:dyDescent="0.35">
      <c r="A46" s="98" t="s">
        <v>202</v>
      </c>
      <c r="B46" s="104">
        <f>B44-0.2</f>
        <v>0.8</v>
      </c>
      <c r="C46" s="104">
        <f>C44-0.2</f>
        <v>0.8</v>
      </c>
      <c r="D46" s="104">
        <f>D44-0.2</f>
        <v>0.8</v>
      </c>
      <c r="E46" s="5"/>
    </row>
    <row r="47" spans="1:5" x14ac:dyDescent="0.35">
      <c r="A47" s="96" t="s">
        <v>203</v>
      </c>
      <c r="B47" s="99">
        <f>ROUND(B45*0.8,1)</f>
        <v>1.3</v>
      </c>
      <c r="C47" s="99">
        <f>ROUND(C45*0.8,1)</f>
        <v>1.4</v>
      </c>
      <c r="D47" s="99">
        <f>ROUND(D45*0.8,1)</f>
        <v>1.4</v>
      </c>
      <c r="E47" s="97"/>
    </row>
    <row r="48" spans="1:5" x14ac:dyDescent="0.35">
      <c r="A48" s="97" t="s">
        <v>204</v>
      </c>
      <c r="B48" s="103">
        <f>B46-0.1</f>
        <v>0.70000000000000007</v>
      </c>
      <c r="C48" s="103">
        <f>C46-0.1</f>
        <v>0.70000000000000007</v>
      </c>
      <c r="D48" s="103">
        <f>D46-0.1</f>
        <v>0.70000000000000007</v>
      </c>
      <c r="E48" s="97"/>
    </row>
    <row r="49" spans="1:5" x14ac:dyDescent="0.35">
      <c r="A49" s="5" t="s">
        <v>205</v>
      </c>
      <c r="B49" s="100">
        <f>ROUND(B47*0.9,1)</f>
        <v>1.2</v>
      </c>
      <c r="C49" s="100">
        <f>ROUND(C47*0.9,1)</f>
        <v>1.3</v>
      </c>
      <c r="D49" s="100">
        <f>ROUND(D47*0.9,1)</f>
        <v>1.3</v>
      </c>
      <c r="E49" s="5"/>
    </row>
    <row r="50" spans="1:5" x14ac:dyDescent="0.35">
      <c r="A50" s="5" t="s">
        <v>206</v>
      </c>
      <c r="B50" s="104">
        <f>B48-0.2</f>
        <v>0.5</v>
      </c>
      <c r="C50" s="104">
        <f>C48-0.2</f>
        <v>0.5</v>
      </c>
      <c r="D50" s="104">
        <f>D48-0.2</f>
        <v>0.5</v>
      </c>
      <c r="E50" s="5" t="s">
        <v>207</v>
      </c>
    </row>
  </sheetData>
  <mergeCells count="1">
    <mergeCell ref="B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A768-217A-44F1-AEFA-C33374A845F6}">
  <dimension ref="A3:H47"/>
  <sheetViews>
    <sheetView workbookViewId="0">
      <selection activeCell="E13" sqref="E13"/>
    </sheetView>
  </sheetViews>
  <sheetFormatPr defaultRowHeight="14.5" x14ac:dyDescent="0.35"/>
  <cols>
    <col min="1" max="1" width="20.26953125" customWidth="1"/>
    <col min="2" max="5" width="14.7265625" customWidth="1"/>
    <col min="6" max="6" width="17.453125" customWidth="1"/>
    <col min="7" max="7" width="14.7265625" customWidth="1"/>
    <col min="8" max="8" width="12.54296875" customWidth="1"/>
  </cols>
  <sheetData>
    <row r="3" spans="1:8" x14ac:dyDescent="0.35">
      <c r="A3" s="52" t="s">
        <v>210</v>
      </c>
      <c r="B3" s="51"/>
      <c r="C3" s="51"/>
      <c r="D3" s="51"/>
      <c r="E3" s="51"/>
      <c r="F3" s="51"/>
      <c r="G3" s="51"/>
      <c r="H3" s="51"/>
    </row>
    <row r="4" spans="1:8" x14ac:dyDescent="0.35">
      <c r="A4" s="37"/>
      <c r="B4" s="42" t="s">
        <v>82</v>
      </c>
      <c r="C4" s="42" t="s">
        <v>98</v>
      </c>
      <c r="D4" s="43" t="s">
        <v>83</v>
      </c>
      <c r="E4" s="43" t="s">
        <v>99</v>
      </c>
      <c r="F4" s="43" t="s">
        <v>84</v>
      </c>
      <c r="G4" s="43" t="s">
        <v>100</v>
      </c>
    </row>
    <row r="5" spans="1:8" x14ac:dyDescent="0.35">
      <c r="A5" s="38" t="s">
        <v>85</v>
      </c>
      <c r="B5" s="39" t="s">
        <v>86</v>
      </c>
      <c r="C5" s="39" t="s">
        <v>87</v>
      </c>
      <c r="D5" s="39" t="s">
        <v>86</v>
      </c>
      <c r="E5" s="39" t="s">
        <v>87</v>
      </c>
      <c r="F5" s="39" t="s">
        <v>86</v>
      </c>
      <c r="G5" s="39" t="s">
        <v>87</v>
      </c>
    </row>
    <row r="6" spans="1:8" x14ac:dyDescent="0.35">
      <c r="A6" s="38" t="s">
        <v>88</v>
      </c>
      <c r="B6" s="38">
        <v>25</v>
      </c>
      <c r="C6" s="38">
        <v>10</v>
      </c>
      <c r="D6" s="38">
        <v>30</v>
      </c>
      <c r="E6" s="38">
        <v>12</v>
      </c>
      <c r="F6" s="38">
        <v>40</v>
      </c>
      <c r="G6" s="38">
        <v>12</v>
      </c>
      <c r="H6" s="5" t="s">
        <v>26</v>
      </c>
    </row>
    <row r="7" spans="1:8" x14ac:dyDescent="0.35">
      <c r="A7" s="38" t="s">
        <v>89</v>
      </c>
      <c r="B7" s="41">
        <v>0.5</v>
      </c>
      <c r="C7" s="41">
        <v>0.1</v>
      </c>
      <c r="D7" s="41">
        <v>0.5</v>
      </c>
      <c r="E7" s="41">
        <v>0.1</v>
      </c>
      <c r="F7" s="41">
        <v>0.5</v>
      </c>
      <c r="G7" s="41">
        <v>0.1</v>
      </c>
    </row>
    <row r="8" spans="1:8" x14ac:dyDescent="0.35">
      <c r="A8" s="38" t="s">
        <v>90</v>
      </c>
      <c r="B8" s="40">
        <v>200000</v>
      </c>
      <c r="C8" s="40">
        <v>20000</v>
      </c>
      <c r="D8" s="40">
        <v>500000</v>
      </c>
      <c r="E8" s="40">
        <v>40000</v>
      </c>
      <c r="F8" s="40">
        <v>1000000</v>
      </c>
      <c r="G8" s="40">
        <v>50000</v>
      </c>
    </row>
    <row r="9" spans="1:8" x14ac:dyDescent="0.35">
      <c r="A9" s="38" t="s">
        <v>91</v>
      </c>
      <c r="B9" s="38">
        <v>0</v>
      </c>
      <c r="C9" s="38">
        <v>10000</v>
      </c>
      <c r="D9" s="38">
        <v>0</v>
      </c>
      <c r="E9" s="38">
        <v>250000</v>
      </c>
      <c r="F9" s="38">
        <v>0</v>
      </c>
      <c r="G9" s="38">
        <v>250000</v>
      </c>
      <c r="H9" s="5" t="s">
        <v>26</v>
      </c>
    </row>
    <row r="10" spans="1:8" x14ac:dyDescent="0.35">
      <c r="A10" s="38" t="s">
        <v>92</v>
      </c>
      <c r="B10" s="41">
        <v>0</v>
      </c>
      <c r="C10" s="41">
        <v>0.5</v>
      </c>
      <c r="D10" s="41">
        <v>0</v>
      </c>
      <c r="E10" s="41">
        <v>0.75</v>
      </c>
      <c r="F10" s="41">
        <v>0</v>
      </c>
      <c r="G10" s="41">
        <v>0.85</v>
      </c>
    </row>
    <row r="11" spans="1:8" x14ac:dyDescent="0.35">
      <c r="A11" s="38" t="s">
        <v>93</v>
      </c>
      <c r="B11" s="38">
        <v>0</v>
      </c>
      <c r="C11" s="38">
        <v>20</v>
      </c>
      <c r="D11" s="38">
        <v>0</v>
      </c>
      <c r="E11" s="38">
        <v>2000</v>
      </c>
      <c r="F11" s="38">
        <v>0</v>
      </c>
      <c r="G11" s="38">
        <v>7500</v>
      </c>
      <c r="H11" s="38" t="s">
        <v>97</v>
      </c>
    </row>
    <row r="12" spans="1:8" x14ac:dyDescent="0.35">
      <c r="A12" s="101" t="s">
        <v>208</v>
      </c>
      <c r="B12" s="101">
        <v>1</v>
      </c>
      <c r="C12" s="101">
        <v>1.9</v>
      </c>
      <c r="D12" s="101">
        <v>1</v>
      </c>
      <c r="E12" s="101">
        <v>2.5</v>
      </c>
      <c r="F12" s="101">
        <v>1</v>
      </c>
      <c r="G12" s="101">
        <v>3.7</v>
      </c>
      <c r="H12" s="102" t="s">
        <v>209</v>
      </c>
    </row>
    <row r="13" spans="1:8" x14ac:dyDescent="0.35">
      <c r="A13" s="38" t="s">
        <v>94</v>
      </c>
      <c r="B13" s="38">
        <v>25</v>
      </c>
      <c r="C13" s="38">
        <v>10</v>
      </c>
      <c r="D13" s="38">
        <v>20</v>
      </c>
      <c r="E13" s="38">
        <v>5</v>
      </c>
      <c r="F13" s="38">
        <v>20</v>
      </c>
      <c r="G13" s="38">
        <v>5</v>
      </c>
      <c r="H13" s="5" t="s">
        <v>26</v>
      </c>
    </row>
    <row r="14" spans="1:8" x14ac:dyDescent="0.35">
      <c r="A14" s="38" t="s">
        <v>95</v>
      </c>
      <c r="B14" s="41">
        <v>0.5</v>
      </c>
      <c r="C14" s="41">
        <v>0.1</v>
      </c>
      <c r="D14" s="41">
        <v>0.5</v>
      </c>
      <c r="E14" s="41">
        <v>0.1</v>
      </c>
      <c r="F14" s="41">
        <v>0.5</v>
      </c>
      <c r="G14" s="41">
        <v>0.1</v>
      </c>
    </row>
    <row r="15" spans="1:8" x14ac:dyDescent="0.35">
      <c r="A15" s="38" t="s">
        <v>96</v>
      </c>
      <c r="B15" s="40">
        <v>100000</v>
      </c>
      <c r="C15" s="40">
        <v>10000</v>
      </c>
      <c r="D15" s="40">
        <v>100000</v>
      </c>
      <c r="E15" s="40">
        <v>10000</v>
      </c>
      <c r="F15" s="40">
        <v>100000</v>
      </c>
      <c r="G15" s="40">
        <v>10000</v>
      </c>
    </row>
    <row r="17" spans="1:8" x14ac:dyDescent="0.35">
      <c r="A17" s="50"/>
      <c r="D17" s="128" t="s">
        <v>118</v>
      </c>
      <c r="E17" s="129"/>
    </row>
    <row r="18" spans="1:8" ht="29" x14ac:dyDescent="0.35">
      <c r="A18" s="45" t="s">
        <v>102</v>
      </c>
      <c r="B18" s="45" t="s">
        <v>115</v>
      </c>
      <c r="C18" s="45" t="s">
        <v>103</v>
      </c>
      <c r="D18" s="45" t="s">
        <v>116</v>
      </c>
      <c r="E18" s="45" t="s">
        <v>117</v>
      </c>
      <c r="F18" s="45" t="s">
        <v>104</v>
      </c>
      <c r="G18" s="46"/>
      <c r="H18" s="47" t="s">
        <v>105</v>
      </c>
    </row>
    <row r="19" spans="1:8" x14ac:dyDescent="0.35">
      <c r="A19" s="45" t="s">
        <v>106</v>
      </c>
      <c r="B19" s="5">
        <v>60000000</v>
      </c>
      <c r="C19" s="45" t="s">
        <v>107</v>
      </c>
      <c r="D19" s="48">
        <v>6</v>
      </c>
      <c r="E19" s="48">
        <v>3</v>
      </c>
      <c r="F19" s="49">
        <v>15</v>
      </c>
      <c r="G19" s="45" t="s">
        <v>108</v>
      </c>
      <c r="H19" s="46"/>
    </row>
    <row r="20" spans="1:8" x14ac:dyDescent="0.35">
      <c r="A20" s="45" t="s">
        <v>109</v>
      </c>
      <c r="B20" s="5">
        <v>30000000</v>
      </c>
      <c r="C20" s="45" t="s">
        <v>110</v>
      </c>
      <c r="D20" s="48">
        <v>8</v>
      </c>
      <c r="E20" s="48">
        <v>6</v>
      </c>
      <c r="F20" s="49">
        <v>1000</v>
      </c>
      <c r="G20" s="45" t="s">
        <v>108</v>
      </c>
      <c r="H20" s="45" t="s">
        <v>111</v>
      </c>
    </row>
    <row r="21" spans="1:8" x14ac:dyDescent="0.35">
      <c r="A21" s="45" t="s">
        <v>112</v>
      </c>
      <c r="B21" s="5">
        <v>10000000</v>
      </c>
      <c r="C21" s="45" t="s">
        <v>113</v>
      </c>
      <c r="D21" s="48">
        <v>15</v>
      </c>
      <c r="E21" s="48">
        <v>13</v>
      </c>
      <c r="F21" s="49">
        <v>7500</v>
      </c>
      <c r="G21" s="45" t="s">
        <v>108</v>
      </c>
      <c r="H21" s="45" t="s">
        <v>114</v>
      </c>
    </row>
    <row r="23" spans="1:8" x14ac:dyDescent="0.35">
      <c r="A23" s="106"/>
      <c r="B23" s="106"/>
    </row>
    <row r="24" spans="1:8" x14ac:dyDescent="0.35">
      <c r="A24" s="106"/>
      <c r="B24" s="107"/>
    </row>
    <row r="25" spans="1:8" x14ac:dyDescent="0.35">
      <c r="A25" s="106"/>
      <c r="B25" s="107"/>
    </row>
    <row r="26" spans="1:8" x14ac:dyDescent="0.35">
      <c r="A26" s="106"/>
      <c r="B26" s="107"/>
    </row>
    <row r="27" spans="1:8" x14ac:dyDescent="0.35">
      <c r="A27" s="106"/>
      <c r="C27" s="106"/>
      <c r="D27" s="108"/>
      <c r="E27" s="108"/>
      <c r="F27" s="44"/>
    </row>
    <row r="28" spans="1:8" x14ac:dyDescent="0.35">
      <c r="A28" s="106"/>
      <c r="C28" s="109"/>
    </row>
    <row r="30" spans="1:8" x14ac:dyDescent="0.35">
      <c r="A30" s="2"/>
    </row>
    <row r="31" spans="1:8" x14ac:dyDescent="0.35">
      <c r="A31" s="110"/>
      <c r="B31" s="111"/>
      <c r="C31" s="111"/>
      <c r="D31" s="112"/>
      <c r="E31" s="112"/>
      <c r="F31" s="112"/>
      <c r="G31" s="112"/>
    </row>
    <row r="32" spans="1:8" x14ac:dyDescent="0.35">
      <c r="A32" s="113"/>
      <c r="B32" s="114"/>
      <c r="C32" s="114"/>
      <c r="D32" s="114"/>
      <c r="E32" s="114"/>
      <c r="F32" s="114"/>
      <c r="G32" s="114"/>
    </row>
    <row r="33" spans="1:8" x14ac:dyDescent="0.35">
      <c r="A33" s="113"/>
      <c r="B33" s="113"/>
      <c r="C33" s="113"/>
      <c r="D33" s="113"/>
      <c r="E33" s="113"/>
      <c r="F33" s="113"/>
      <c r="G33" s="113"/>
    </row>
    <row r="34" spans="1:8" x14ac:dyDescent="0.35">
      <c r="A34" s="113"/>
      <c r="B34" s="105"/>
      <c r="C34" s="105"/>
      <c r="D34" s="105"/>
      <c r="E34" s="105"/>
      <c r="F34" s="105"/>
      <c r="G34" s="105"/>
    </row>
    <row r="35" spans="1:8" x14ac:dyDescent="0.35">
      <c r="A35" s="113"/>
      <c r="B35" s="115"/>
      <c r="C35" s="115"/>
      <c r="D35" s="115"/>
      <c r="E35" s="115"/>
      <c r="F35" s="115"/>
      <c r="G35" s="115"/>
    </row>
    <row r="36" spans="1:8" x14ac:dyDescent="0.35">
      <c r="A36" s="113"/>
      <c r="B36" s="113"/>
      <c r="C36" s="113"/>
      <c r="D36" s="113"/>
      <c r="E36" s="113"/>
      <c r="F36" s="113"/>
      <c r="G36" s="113"/>
    </row>
    <row r="37" spans="1:8" x14ac:dyDescent="0.35">
      <c r="A37" s="113"/>
      <c r="B37" s="105"/>
      <c r="C37" s="105"/>
      <c r="D37" s="105"/>
      <c r="E37" s="105"/>
      <c r="F37" s="105"/>
      <c r="G37" s="105"/>
    </row>
    <row r="38" spans="1:8" x14ac:dyDescent="0.35">
      <c r="A38" s="113"/>
      <c r="B38" s="113"/>
      <c r="C38" s="113"/>
      <c r="D38" s="113"/>
      <c r="E38" s="113"/>
      <c r="F38" s="113"/>
      <c r="G38" s="113"/>
      <c r="H38" s="113"/>
    </row>
    <row r="39" spans="1:8" x14ac:dyDescent="0.35">
      <c r="A39" s="113"/>
      <c r="B39" s="113"/>
      <c r="C39" s="113"/>
      <c r="D39" s="113"/>
      <c r="E39" s="113"/>
      <c r="F39" s="113"/>
      <c r="G39" s="113"/>
    </row>
    <row r="40" spans="1:8" x14ac:dyDescent="0.35">
      <c r="A40" s="113"/>
      <c r="B40" s="105"/>
      <c r="C40" s="105"/>
      <c r="D40" s="105"/>
      <c r="E40" s="105"/>
      <c r="F40" s="105"/>
      <c r="G40" s="105"/>
    </row>
    <row r="41" spans="1:8" x14ac:dyDescent="0.35">
      <c r="A41" s="113"/>
      <c r="B41" s="115"/>
      <c r="C41" s="115"/>
      <c r="D41" s="115"/>
      <c r="E41" s="115"/>
      <c r="F41" s="115"/>
      <c r="G41" s="115"/>
    </row>
    <row r="43" spans="1:8" x14ac:dyDescent="0.35">
      <c r="A43" s="2"/>
      <c r="B43" s="116"/>
      <c r="C43" s="116"/>
      <c r="D43" s="127"/>
      <c r="E43" s="127"/>
      <c r="F43" s="116"/>
      <c r="G43" s="116"/>
      <c r="H43" s="116"/>
    </row>
    <row r="44" spans="1:8" x14ac:dyDescent="0.35">
      <c r="A44" s="106"/>
      <c r="B44" s="106"/>
      <c r="C44" s="106"/>
      <c r="D44" s="106"/>
      <c r="E44" s="106"/>
      <c r="F44" s="106"/>
      <c r="G44" s="116"/>
      <c r="H44" s="117"/>
    </row>
    <row r="45" spans="1:8" x14ac:dyDescent="0.35">
      <c r="A45" s="106"/>
      <c r="B45" s="118"/>
      <c r="C45" s="106"/>
      <c r="D45" s="108"/>
      <c r="E45" s="108"/>
      <c r="F45" s="108"/>
      <c r="G45" s="106"/>
      <c r="H45" s="116"/>
    </row>
    <row r="46" spans="1:8" x14ac:dyDescent="0.35">
      <c r="A46" s="106"/>
      <c r="B46" s="118"/>
      <c r="C46" s="106"/>
      <c r="D46" s="108"/>
      <c r="E46" s="108"/>
      <c r="F46" s="108"/>
      <c r="G46" s="106"/>
      <c r="H46" s="106"/>
    </row>
    <row r="47" spans="1:8" x14ac:dyDescent="0.35">
      <c r="A47" s="106"/>
      <c r="B47" s="118"/>
      <c r="C47" s="106"/>
      <c r="D47" s="108"/>
      <c r="E47" s="108"/>
      <c r="F47" s="108"/>
      <c r="G47" s="106"/>
      <c r="H47" s="106"/>
    </row>
  </sheetData>
  <mergeCells count="2">
    <mergeCell ref="D43:E43"/>
    <mergeCell ref="D17:E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30F5B-F3F5-4D79-B0F8-9D6F7E759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Financials</vt:lpstr>
      <vt:lpstr>CPU</vt:lpstr>
      <vt:lpstr>GPU</vt:lpstr>
      <vt:lpstr>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Hicok</dc:creator>
  <cp:lastModifiedBy>Krutyanjay Shinde (Student)</cp:lastModifiedBy>
  <dcterms:created xsi:type="dcterms:W3CDTF">2025-08-13T13:46:42Z</dcterms:created>
  <dcterms:modified xsi:type="dcterms:W3CDTF">2025-11-25T16:34:04Z</dcterms:modified>
</cp:coreProperties>
</file>